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marisa\Desktop\"/>
    </mc:Choice>
  </mc:AlternateContent>
  <xr:revisionPtr revIDLastSave="0" documentId="13_ncr:1_{DF289752-A2BF-4CC4-AFE3-8E4993D0A60B}" xr6:coauthVersionLast="41" xr6:coauthVersionMax="41" xr10:uidLastSave="{00000000-0000-0000-0000-000000000000}"/>
  <bookViews>
    <workbookView xWindow="0" yWindow="0" windowWidth="19200" windowHeight="10200" xr2:uid="{00000000-000D-0000-FFFF-FFFF00000000}"/>
  </bookViews>
  <sheets>
    <sheet name="Mapa" sheetId="1" r:id="rId1"/>
  </sheets>
  <definedNames>
    <definedName name="_">Mapa!$AH$4</definedName>
    <definedName name="_xlnm._FilterDatabase" localSheetId="0" hidden="1">Mapa!$CT$3:$CU$16</definedName>
    <definedName name="Aniveri">#REF!</definedName>
    <definedName name="AnoDoCalendário">Mapa!$G$1</definedName>
    <definedName name="Tipo1">Mapa!$L$3</definedName>
    <definedName name="Tipo2">Mapa!$Q$3</definedName>
    <definedName name="Tipo3">Mapa!$V$3</definedName>
    <definedName name="TipoFerias">Mapa!$C$3</definedName>
    <definedName name="TipoFormacao">Mapa!$G$3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T17" i="1" l="1"/>
  <c r="CD17" i="1" s="1"/>
  <c r="B102" i="1"/>
  <c r="B85" i="1"/>
  <c r="B68" i="1"/>
  <c r="B51" i="1"/>
  <c r="B34" i="1"/>
  <c r="BT9" i="1"/>
  <c r="BT10" i="1"/>
  <c r="BT11" i="1"/>
  <c r="BT12" i="1"/>
  <c r="BT13" i="1"/>
  <c r="BT14" i="1"/>
  <c r="BT15" i="1"/>
  <c r="BT16" i="1"/>
  <c r="BT8" i="1"/>
  <c r="CB17" i="1" l="1"/>
  <c r="CU16" i="1"/>
  <c r="CU12" i="1"/>
  <c r="CU11" i="1"/>
  <c r="CU10" i="1"/>
  <c r="CU9" i="1"/>
  <c r="CU15" i="1"/>
  <c r="CU13" i="1"/>
  <c r="CU14" i="1"/>
  <c r="CU8" i="1"/>
  <c r="CU6" i="1" s="1"/>
  <c r="CU17" i="1"/>
  <c r="CU4" i="1"/>
  <c r="CU5" i="1" l="1"/>
  <c r="CU7" i="1" s="1"/>
  <c r="CL4" i="1"/>
  <c r="CO4" i="1"/>
  <c r="F23" i="1"/>
  <c r="E23" i="1"/>
  <c r="D23" i="1"/>
  <c r="C23" i="1"/>
  <c r="CD16" i="1" l="1"/>
  <c r="B101" i="1"/>
  <c r="B84" i="1"/>
  <c r="B67" i="1"/>
  <c r="B50" i="1"/>
  <c r="B33" i="1"/>
  <c r="CB16" i="1" l="1"/>
  <c r="BY6" i="1"/>
  <c r="BX6" i="1"/>
  <c r="BW6" i="1"/>
  <c r="BV6" i="1"/>
  <c r="BU6" i="1"/>
  <c r="BT6" i="1"/>
  <c r="CE17" i="1" s="1"/>
  <c r="CF17" i="1" s="1"/>
  <c r="CG17" i="1" s="1"/>
  <c r="CH17" i="1" s="1"/>
  <c r="CD13" i="1"/>
  <c r="CB13" i="1" s="1"/>
  <c r="CD14" i="1"/>
  <c r="CB14" i="1" s="1"/>
  <c r="CD15" i="1"/>
  <c r="CB15" i="1" s="1"/>
  <c r="AG23" i="1"/>
  <c r="AH91" i="1"/>
  <c r="CI17" i="1" l="1"/>
  <c r="CE16" i="1"/>
  <c r="CF16" i="1" s="1"/>
  <c r="CM5" i="1"/>
  <c r="CE13" i="1"/>
  <c r="CF13" i="1" s="1"/>
  <c r="CG13" i="1" s="1"/>
  <c r="CH13" i="1" s="1"/>
  <c r="CI13" i="1" s="1"/>
  <c r="CE15" i="1"/>
  <c r="CF15" i="1" s="1"/>
  <c r="CG15" i="1" s="1"/>
  <c r="CH15" i="1" s="1"/>
  <c r="CI15" i="1" s="1"/>
  <c r="CE14" i="1"/>
  <c r="CF14" i="1" s="1"/>
  <c r="CG14" i="1" s="1"/>
  <c r="CH14" i="1" s="1"/>
  <c r="CI14" i="1" s="1"/>
  <c r="B94" i="1"/>
  <c r="B95" i="1"/>
  <c r="B96" i="1"/>
  <c r="B97" i="1"/>
  <c r="B98" i="1"/>
  <c r="B99" i="1"/>
  <c r="B100" i="1"/>
  <c r="B93" i="1"/>
  <c r="B77" i="1"/>
  <c r="B78" i="1"/>
  <c r="B79" i="1"/>
  <c r="B80" i="1"/>
  <c r="B81" i="1"/>
  <c r="B82" i="1"/>
  <c r="B83" i="1"/>
  <c r="B66" i="1"/>
  <c r="B49" i="1"/>
  <c r="B32" i="1"/>
  <c r="CL5" i="1" l="1"/>
  <c r="CP5" i="1"/>
  <c r="CO5" i="1" s="1"/>
  <c r="CM6" i="1"/>
  <c r="CG16" i="1"/>
  <c r="B65" i="1"/>
  <c r="B48" i="1"/>
  <c r="B31" i="1"/>
  <c r="B30" i="1"/>
  <c r="B47" i="1" s="1"/>
  <c r="B64" i="1" s="1"/>
  <c r="B26" i="1"/>
  <c r="B27" i="1"/>
  <c r="B28" i="1"/>
  <c r="B29" i="1"/>
  <c r="CM7" i="1" l="1"/>
  <c r="CP6" i="1"/>
  <c r="CO6" i="1" s="1"/>
  <c r="CL6" i="1"/>
  <c r="CH16" i="1"/>
  <c r="CI16" i="1" s="1"/>
  <c r="CD12" i="1"/>
  <c r="CE12" i="1" s="1"/>
  <c r="CF12" i="1" s="1"/>
  <c r="CG12" i="1" s="1"/>
  <c r="CH12" i="1" s="1"/>
  <c r="CI12" i="1" s="1"/>
  <c r="CD11" i="1"/>
  <c r="CE11" i="1" s="1"/>
  <c r="CF11" i="1" s="1"/>
  <c r="CG11" i="1" s="1"/>
  <c r="CH11" i="1" s="1"/>
  <c r="CI11" i="1" s="1"/>
  <c r="CD10" i="1"/>
  <c r="CE10" i="1" s="1"/>
  <c r="CF10" i="1" s="1"/>
  <c r="CG10" i="1" s="1"/>
  <c r="CH10" i="1" s="1"/>
  <c r="CI10" i="1" s="1"/>
  <c r="CD9" i="1"/>
  <c r="CE9" i="1" s="1"/>
  <c r="CF9" i="1" s="1"/>
  <c r="CG9" i="1" s="1"/>
  <c r="CH9" i="1" s="1"/>
  <c r="CI9" i="1" s="1"/>
  <c r="CD8" i="1"/>
  <c r="CE8" i="1" s="1"/>
  <c r="CF8" i="1" s="1"/>
  <c r="CG8" i="1" s="1"/>
  <c r="CH8" i="1" s="1"/>
  <c r="CI8" i="1" s="1"/>
  <c r="CM8" i="1" l="1"/>
  <c r="CP7" i="1"/>
  <c r="CO7" i="1" s="1"/>
  <c r="CL7" i="1"/>
  <c r="CB12" i="1"/>
  <c r="CB8" i="1"/>
  <c r="CB9" i="1"/>
  <c r="CB10" i="1"/>
  <c r="CB11" i="1"/>
  <c r="BY7" i="1"/>
  <c r="BX7" i="1"/>
  <c r="BW7" i="1"/>
  <c r="BV7" i="1"/>
  <c r="BU7" i="1"/>
  <c r="B46" i="1"/>
  <c r="B63" i="1" s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D91" i="1"/>
  <c r="C91" i="1"/>
  <c r="C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D74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D57" i="1"/>
  <c r="C57" i="1"/>
  <c r="C40" i="1"/>
  <c r="H40" i="1"/>
  <c r="E40" i="1"/>
  <c r="F40" i="1"/>
  <c r="G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D40" i="1"/>
  <c r="M23" i="1"/>
  <c r="AW6" i="1"/>
  <c r="AV23" i="1"/>
  <c r="AV40" i="1"/>
  <c r="AV57" i="1"/>
  <c r="AT74" i="1"/>
  <c r="BA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B91" i="1"/>
  <c r="BC91" i="1"/>
  <c r="BD91" i="1"/>
  <c r="BE91" i="1"/>
  <c r="BF91" i="1"/>
  <c r="BG91" i="1"/>
  <c r="BH91" i="1"/>
  <c r="BI91" i="1"/>
  <c r="BJ91" i="1"/>
  <c r="BK91" i="1"/>
  <c r="BL91" i="1"/>
  <c r="AJ74" i="1"/>
  <c r="AK74" i="1"/>
  <c r="AL74" i="1"/>
  <c r="AM74" i="1"/>
  <c r="AN74" i="1"/>
  <c r="AO74" i="1"/>
  <c r="AP74" i="1"/>
  <c r="AQ74" i="1"/>
  <c r="AR74" i="1"/>
  <c r="AS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AI74" i="1"/>
  <c r="AH74" i="1"/>
  <c r="AK40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AI57" i="1"/>
  <c r="AH57" i="1"/>
  <c r="AQ40" i="1"/>
  <c r="AJ40" i="1"/>
  <c r="AL40" i="1"/>
  <c r="AM40" i="1"/>
  <c r="AN40" i="1"/>
  <c r="AO40" i="1"/>
  <c r="AP40" i="1"/>
  <c r="AR40" i="1"/>
  <c r="AS40" i="1"/>
  <c r="AT40" i="1"/>
  <c r="AU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AI40" i="1"/>
  <c r="AH40" i="1"/>
  <c r="AH23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AI6" i="1"/>
  <c r="AH6" i="1"/>
  <c r="AG6" i="1"/>
  <c r="G23" i="1"/>
  <c r="H23" i="1"/>
  <c r="I23" i="1"/>
  <c r="J23" i="1"/>
  <c r="K23" i="1"/>
  <c r="L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C6" i="1"/>
  <c r="B76" i="1"/>
  <c r="B60" i="1"/>
  <c r="B61" i="1"/>
  <c r="B62" i="1"/>
  <c r="B59" i="1"/>
  <c r="B43" i="1"/>
  <c r="B44" i="1"/>
  <c r="B45" i="1"/>
  <c r="B42" i="1"/>
  <c r="B25" i="1"/>
  <c r="BX14" i="1"/>
  <c r="BX11" i="1"/>
  <c r="BU16" i="1"/>
  <c r="BX10" i="1"/>
  <c r="BY17" i="1"/>
  <c r="BV16" i="1"/>
  <c r="BV14" i="1"/>
  <c r="BY10" i="1"/>
  <c r="BX15" i="1"/>
  <c r="BU12" i="1"/>
  <c r="BU13" i="1"/>
  <c r="BU14" i="1"/>
  <c r="BV11" i="1"/>
  <c r="BU11" i="1"/>
  <c r="BW15" i="1"/>
  <c r="BW9" i="1"/>
  <c r="BX8" i="1"/>
  <c r="BV8" i="1"/>
  <c r="BV17" i="1"/>
  <c r="BY12" i="1"/>
  <c r="BY15" i="1"/>
  <c r="BW14" i="1"/>
  <c r="BY14" i="1"/>
  <c r="BX12" i="1"/>
  <c r="BW8" i="1"/>
  <c r="BY13" i="1"/>
  <c r="BW16" i="1"/>
  <c r="BU15" i="1"/>
  <c r="BY8" i="1"/>
  <c r="BV9" i="1"/>
  <c r="BV13" i="1"/>
  <c r="BU10" i="1"/>
  <c r="BX9" i="1"/>
  <c r="BU9" i="1"/>
  <c r="BU8" i="1"/>
  <c r="BV12" i="1"/>
  <c r="BV15" i="1"/>
  <c r="BW12" i="1"/>
  <c r="BW13" i="1"/>
  <c r="BY16" i="1"/>
  <c r="BV10" i="1"/>
  <c r="BU17" i="1"/>
  <c r="BY11" i="1"/>
  <c r="BX16" i="1"/>
  <c r="BX17" i="1"/>
  <c r="BY9" i="1"/>
  <c r="BW10" i="1"/>
  <c r="BW17" i="1"/>
  <c r="BX13" i="1"/>
  <c r="CM9" i="1" l="1"/>
  <c r="CP8" i="1"/>
  <c r="CO8" i="1" s="1"/>
  <c r="CL8" i="1"/>
  <c r="CP9" i="1" l="1"/>
  <c r="CO9" i="1" s="1"/>
  <c r="CL9" i="1"/>
</calcChain>
</file>

<file path=xl/sharedStrings.xml><?xml version="1.0" encoding="utf-8"?>
<sst xmlns="http://schemas.openxmlformats.org/spreadsheetml/2006/main" count="449" uniqueCount="88">
  <si>
    <t>Janeiro</t>
  </si>
  <si>
    <t>Nome do Funcionário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</si>
  <si>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</si>
  <si>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</si>
  <si>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</si>
  <si>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</si>
  <si>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</si>
  <si>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</si>
  <si>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</si>
  <si>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</si>
  <si>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</si>
  <si>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</si>
  <si>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</si>
  <si>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</si>
  <si>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</si>
  <si>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</si>
  <si>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</si>
  <si>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</si>
  <si>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</si>
  <si>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</si>
  <si>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</si>
  <si>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</si>
  <si>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</si>
  <si>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</si>
  <si>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</si>
  <si>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</si>
  <si>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</si>
  <si>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</si>
  <si>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</si>
  <si>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</si>
  <si>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</si>
  <si>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</si>
  <si>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</si>
  <si>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F</t>
  </si>
  <si>
    <t>M</t>
  </si>
  <si>
    <t>Tipo de Ausência</t>
  </si>
  <si>
    <t>Férias</t>
  </si>
  <si>
    <t>Personalizado 2</t>
  </si>
  <si>
    <t>Calendário de Férias</t>
  </si>
  <si>
    <t>Fevereiro</t>
  </si>
  <si>
    <t>Março</t>
  </si>
  <si>
    <t>B</t>
  </si>
  <si>
    <t>C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</si>
  <si>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</si>
  <si>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</si>
  <si>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</si>
  <si>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</si>
  <si>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</si>
  <si>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</si>
  <si>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</si>
  <si>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</si>
  <si>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</si>
  <si>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Formação</t>
  </si>
  <si>
    <t>Personalizado 3</t>
  </si>
  <si>
    <t>Pessoa B</t>
  </si>
  <si>
    <t>Pessoa C</t>
  </si>
  <si>
    <t>Pessoa D</t>
  </si>
  <si>
    <t>Feriados</t>
  </si>
  <si>
    <t>Pessoa E</t>
  </si>
  <si>
    <t>Pessoa F</t>
  </si>
  <si>
    <t>Pessoa G</t>
  </si>
  <si>
    <t>Pessoa H</t>
  </si>
  <si>
    <t xml:space="preserve">Novo: </t>
  </si>
  <si>
    <t>Coluna1</t>
  </si>
  <si>
    <t>Pessoa I</t>
  </si>
  <si>
    <t>Marco</t>
  </si>
  <si>
    <t>C$</t>
  </si>
  <si>
    <t>AH$</t>
  </si>
  <si>
    <t>Ano Novo</t>
  </si>
  <si>
    <t>Natal</t>
  </si>
  <si>
    <t>Pascoa</t>
  </si>
  <si>
    <t>Carnaval</t>
  </si>
  <si>
    <t>Sexta-Feira Santa</t>
  </si>
  <si>
    <t>Corpo de Deus</t>
  </si>
  <si>
    <t>Implantação da República</t>
  </si>
  <si>
    <t>Dia de Todos os Santos</t>
  </si>
  <si>
    <t>Restauração da Independência</t>
  </si>
  <si>
    <t>Dia da Liberdade</t>
  </si>
  <si>
    <t>Dia do Trabalhador</t>
  </si>
  <si>
    <t>Dia de Portugal</t>
  </si>
  <si>
    <t>Assunção de Nossa Senhora</t>
  </si>
  <si>
    <t>Imaculada Conceição</t>
  </si>
  <si>
    <t>Feriado</t>
  </si>
  <si>
    <t>Data</t>
  </si>
  <si>
    <t>-</t>
  </si>
  <si>
    <t>Pessoa J</t>
  </si>
  <si>
    <t>Pessoa X</t>
  </si>
  <si>
    <t>Pessoa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</si>
</sst>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0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26"/>
      <color rgb="FF4B180E"/>
      <name val="Calibri"/>
      <family val="2"/>
    </font>
    <font>
      <u/>
      <sz val="11"/>
      <color theme="1"/>
      <name val="Calibri"/>
      <family val="2"/>
      <scheme val="minor"/>
    </font>
    <font>
      <sz val="10"/>
      <color rgb="FF000080"/>
      <name val="Calibri"/>
      <family val="2"/>
    </font>
    <font>
      <sz val="11"/>
      <color theme="3"/>
      <name val="Calibri"/>
      <family val="2"/>
      <scheme val="minor"/>
    </font>
    <font>
      <sz val="7"/>
      <color rgb="FF242729"/>
      <name val="Consolas"/>
      <family val="3"/>
    </font>
    <font>
      <sz val="1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D7DFBD"/>
        <bgColor rgb="FF000000"/>
      </patternFill>
    </fill>
    <fill>
      <patternFill patternType="solid">
        <fgColor rgb="FFDE7465"/>
        <bgColor rgb="FF000000"/>
      </patternFill>
    </fill>
    <fill>
      <patternFill patternType="solid">
        <fgColor rgb="FFF1F2E8"/>
        <bgColor rgb="FF000000"/>
      </patternFill>
    </fill>
    <fill>
      <patternFill patternType="solid">
        <fgColor rgb="FFF4CDAC"/>
        <bgColor rgb="FFFFFFFF"/>
      </patternFill>
    </fill>
    <fill>
      <patternFill patternType="solid">
        <fgColor rgb="FFC4D09D"/>
        <bgColor rgb="FFFFFFFF"/>
      </patternFill>
    </fill>
    <fill>
      <patternFill patternType="solid">
        <fgColor rgb="FFFFE084"/>
        <bgColor rgb="FF000000"/>
      </patternFill>
    </fill>
    <fill>
      <patternFill patternType="solid">
        <fgColor rgb="FFB9C2DF"/>
        <bgColor rgb="FFFFFFFF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1F2E8"/>
        <bgColor indexed="64"/>
      </patternFill>
    </fill>
    <fill>
      <patternFill patternType="solid">
        <fgColor theme="4" tint="0.39997558519241921"/>
        <bgColor rgb="FFFFFFFF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/>
      <top/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0" borderId="0" applyNumberFormat="0" applyFill="0" applyBorder="0">
      <alignment horizontal="left" vertical="center" wrapText="1" indent="2"/>
    </xf>
    <xf numFmtId="0" fontId="16" fillId="20" borderId="19" applyNumberFormat="0" applyAlignment="0" applyProtection="0"/>
  </cellStyleXfs>
  <cellXfs count="57">
    <xf numFmtId="0" fontId="0" fillId="0" borderId="0" xfId="0"/>
    <xf numFmtId="0" fontId="7" fillId="10" borderId="0" xfId="9" applyFont="1" applyFill="1" applyAlignment="1">
      <alignment horizontal="center" vertical="center"/>
    </xf>
    <xf numFmtId="0" fontId="7" fillId="12" borderId="0" xfId="4" applyFont="1" applyFill="1" applyAlignment="1">
      <alignment horizontal="center" vertical="center"/>
    </xf>
    <xf numFmtId="0" fontId="7" fillId="13" borderId="0" xfId="6" applyFont="1" applyFill="1" applyAlignment="1">
      <alignment horizontal="center" vertical="center"/>
    </xf>
    <xf numFmtId="164" fontId="7" fillId="14" borderId="0" xfId="7" applyNumberFormat="1" applyFont="1" applyFill="1" applyAlignment="1">
      <alignment horizontal="center" vertical="center"/>
    </xf>
    <xf numFmtId="164" fontId="7" fillId="15" borderId="0" xfId="8" applyNumberFormat="1" applyFont="1" applyFill="1" applyAlignment="1">
      <alignment horizontal="center" vertical="center"/>
    </xf>
    <xf numFmtId="0" fontId="10" fillId="0" borderId="0" xfId="1" applyFont="1" applyAlignment="1">
      <alignment horizontal="center" vertical="top"/>
    </xf>
    <xf numFmtId="0" fontId="0" fillId="0" borderId="0" xfId="0" applyAlignment="1">
      <alignment horizontal="center"/>
    </xf>
    <xf numFmtId="0" fontId="6" fillId="16" borderId="3" xfId="0" applyFont="1" applyFill="1" applyBorder="1" applyAlignment="1">
      <alignment horizontal="center" vertical="center"/>
    </xf>
    <xf numFmtId="0" fontId="7" fillId="9" borderId="0" xfId="3" applyFont="1" applyFill="1" applyBorder="1" applyAlignment="1">
      <alignment horizontal="center" vertical="center"/>
    </xf>
    <xf numFmtId="0" fontId="6" fillId="16" borderId="5" xfId="0" applyFont="1" applyFill="1" applyBorder="1" applyAlignment="1">
      <alignment horizontal="center" vertical="center"/>
    </xf>
    <xf numFmtId="0" fontId="0" fillId="8" borderId="4" xfId="5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5" fillId="16" borderId="8" xfId="0" applyFont="1" applyFill="1" applyBorder="1" applyAlignment="1">
      <alignment horizontal="center" vertical="center"/>
    </xf>
    <xf numFmtId="0" fontId="0" fillId="17" borderId="7" xfId="0" applyFill="1" applyBorder="1"/>
    <xf numFmtId="0" fontId="0" fillId="0" borderId="7" xfId="0" applyBorder="1"/>
    <xf numFmtId="0" fontId="0" fillId="0" borderId="6" xfId="0" applyBorder="1"/>
    <xf numFmtId="0" fontId="0" fillId="17" borderId="9" xfId="0" applyFill="1" applyBorder="1"/>
    <xf numFmtId="0" fontId="0" fillId="0" borderId="9" xfId="0" applyBorder="1"/>
    <xf numFmtId="0" fontId="11" fillId="0" borderId="0" xfId="0" applyFont="1"/>
    <xf numFmtId="0" fontId="5" fillId="16" borderId="10" xfId="0" applyFont="1" applyFill="1" applyBorder="1" applyAlignment="1">
      <alignment horizontal="center" vertical="center"/>
    </xf>
    <xf numFmtId="0" fontId="0" fillId="17" borderId="11" xfId="0" applyFill="1" applyBorder="1"/>
    <xf numFmtId="0" fontId="0" fillId="0" borderId="11" xfId="0" applyBorder="1"/>
    <xf numFmtId="0" fontId="0" fillId="0" borderId="12" xfId="0" applyBorder="1"/>
    <xf numFmtId="0" fontId="5" fillId="16" borderId="14" xfId="0" applyFont="1" applyFill="1" applyBorder="1" applyAlignment="1">
      <alignment horizontal="center" vertical="center"/>
    </xf>
    <xf numFmtId="0" fontId="0" fillId="17" borderId="15" xfId="0" applyFill="1" applyBorder="1"/>
    <xf numFmtId="0" fontId="0" fillId="0" borderId="15" xfId="0" applyBorder="1"/>
    <xf numFmtId="0" fontId="0" fillId="17" borderId="12" xfId="0" applyFill="1" applyBorder="1"/>
    <xf numFmtId="0" fontId="11" fillId="0" borderId="0" xfId="0" applyFont="1" applyAlignment="1">
      <alignment horizontal="center"/>
    </xf>
    <xf numFmtId="0" fontId="0" fillId="8" borderId="13" xfId="5" applyFont="1" applyFill="1" applyBorder="1" applyAlignment="1">
      <alignment horizontal="center" vertical="center"/>
    </xf>
    <xf numFmtId="0" fontId="6" fillId="0" borderId="0" xfId="0" applyFont="1"/>
    <xf numFmtId="0" fontId="0" fillId="0" borderId="0" xfId="0" applyAlignment="1">
      <alignment horizontal="right"/>
    </xf>
    <xf numFmtId="0" fontId="7" fillId="19" borderId="0" xfId="6" applyFont="1" applyFill="1" applyAlignment="1">
      <alignment horizontal="center" vertical="center"/>
    </xf>
    <xf numFmtId="14" fontId="0" fillId="0" borderId="0" xfId="0" applyNumberFormat="1"/>
    <xf numFmtId="0" fontId="4" fillId="16" borderId="10" xfId="0" applyFont="1" applyFill="1" applyBorder="1" applyAlignment="1">
      <alignment horizontal="center" vertical="center"/>
    </xf>
    <xf numFmtId="0" fontId="13" fillId="16" borderId="3" xfId="0" applyFont="1" applyFill="1" applyBorder="1" applyAlignment="1">
      <alignment horizontal="center" vertical="center"/>
    </xf>
    <xf numFmtId="0" fontId="0" fillId="0" borderId="0" xfId="0" applyProtection="1">
      <protection hidden="1"/>
    </xf>
    <xf numFmtId="0" fontId="14" fillId="0" borderId="0" xfId="0" applyFont="1" applyAlignment="1">
      <alignment horizontal="left" vertical="center"/>
    </xf>
    <xf numFmtId="0" fontId="9" fillId="11" borderId="0" xfId="5" applyFont="1" applyFill="1" applyAlignment="1">
      <alignment vertical="center"/>
    </xf>
    <xf numFmtId="0" fontId="15" fillId="0" borderId="0" xfId="0" applyFont="1"/>
    <xf numFmtId="0" fontId="15" fillId="0" borderId="0" xfId="0" applyFont="1" applyProtection="1">
      <protection hidden="1"/>
    </xf>
    <xf numFmtId="0" fontId="18" fillId="0" borderId="0" xfId="0" applyFont="1"/>
    <xf numFmtId="0" fontId="16" fillId="20" borderId="19" xfId="11" applyAlignment="1">
      <alignment horizontal="center"/>
    </xf>
    <xf numFmtId="0" fontId="17" fillId="0" borderId="0" xfId="0" applyFont="1"/>
    <xf numFmtId="0" fontId="11" fillId="0" borderId="0" xfId="0" applyFont="1" applyProtection="1">
      <protection hidden="1"/>
    </xf>
    <xf numFmtId="14" fontId="0" fillId="0" borderId="0" xfId="0" applyNumberFormat="1" applyProtection="1">
      <protection hidden="1"/>
    </xf>
    <xf numFmtId="0" fontId="0" fillId="0" borderId="4" xfId="0" applyBorder="1"/>
    <xf numFmtId="14" fontId="0" fillId="0" borderId="4" xfId="0" applyNumberFormat="1" applyBorder="1"/>
    <xf numFmtId="0" fontId="19" fillId="21" borderId="4" xfId="0" applyFont="1" applyFill="1" applyBorder="1" applyAlignment="1">
      <alignment horizontal="center" vertical="center"/>
    </xf>
    <xf numFmtId="0" fontId="0" fillId="0" borderId="20" xfId="0" applyBorder="1"/>
    <xf numFmtId="0" fontId="10" fillId="0" borderId="0" xfId="1" applyFont="1" applyAlignment="1">
      <alignment horizontal="center" vertical="top"/>
    </xf>
    <xf numFmtId="0" fontId="3" fillId="18" borderId="1" xfId="2" applyFill="1" applyAlignment="1">
      <alignment horizontal="center" vertical="center"/>
    </xf>
    <xf numFmtId="0" fontId="8" fillId="11" borderId="0" xfId="5" applyFont="1" applyFill="1" applyAlignment="1">
      <alignment horizontal="left" vertical="center"/>
    </xf>
    <xf numFmtId="0" fontId="9" fillId="11" borderId="0" xfId="5" applyFont="1" applyFill="1" applyAlignment="1">
      <alignment horizontal="left" vertic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</cellXfs>
  <cellStyles count="12">
    <cellStyle name="20% - Cor3" xfId="5" builtinId="38"/>
    <cellStyle name="40% - Cor2" xfId="4" builtinId="35"/>
    <cellStyle name="40% - Cor4" xfId="7" builtinId="43"/>
    <cellStyle name="40% - Cor5" xfId="8" builtinId="47"/>
    <cellStyle name="40% - Cor6" xfId="9" builtinId="51"/>
    <cellStyle name="60% - Cor3" xfId="6" builtinId="40"/>
    <cellStyle name="Cabeçalho 2" xfId="2" builtinId="17"/>
    <cellStyle name="Cabeçalho 3" xfId="3" builtinId="18"/>
    <cellStyle name="Cálculo" xfId="11" builtinId="22"/>
    <cellStyle name="Funcionário" xfId="10" xr:uid="{00000000-0005-0000-0000-000008000000}"/>
    <cellStyle name="Normal" xfId="0" builtinId="0"/>
    <cellStyle name="Título" xfId="1" builtinId="15"/>
  </cellStyles>
  <dxfs count="153">
    <dxf>
      <border outline="0">
        <top style="thin">
          <color theme="1"/>
        </top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outline="0">
        <top style="thin">
          <color theme="1"/>
        </top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outline="0">
        <top style="thin">
          <color theme="1"/>
        </top>
      </border>
    </dxf>
    <dxf>
      <border outline="0">
        <left style="thin">
          <color indexed="64"/>
        </left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outline="0">
        <top style="thin">
          <color theme="1"/>
        </top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outline="0">
        <top style="thin">
          <color theme="1"/>
        </top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outline="0">
        <top style="thin">
          <color theme="1"/>
        </top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outline="0">
        <top style="thin">
          <color theme="1"/>
        </top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DE7465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4" tint="0.39994506668294322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4" tint="0.39994506668294322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4" tint="0.39994506668294322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rgb="FF8EA9DB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rgb="FF8EA9DB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4" tint="0.39994506668294322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4" tint="0.39994506668294322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4" tint="0.39994506668294322"/>
        </patternFill>
      </fill>
    </dxf>
    <dxf>
      <fill>
        <patternFill>
          <bgColor theme="1" tint="0.14996795556505021"/>
        </patternFill>
      </fill>
    </dxf>
    <dxf>
      <fill>
        <patternFill>
          <bgColor rgb="FF8EA9DB"/>
        </patternFill>
      </fill>
    </dxf>
    <dxf>
      <fill>
        <patternFill>
          <bgColor theme="1" tint="0.14996795556505021"/>
        </patternFill>
      </fill>
    </dxf>
    <dxf>
      <fill>
        <patternFill>
          <bgColor rgb="FF8EA9DB"/>
        </patternFill>
      </fill>
    </dxf>
    <dxf>
      <fill>
        <patternFill>
          <bgColor rgb="FFDE7465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DE7465"/>
        </patternFill>
      </fill>
    </dxf>
    <dxf>
      <fill>
        <patternFill>
          <bgColor rgb="FF92D050"/>
        </patternFill>
      </fill>
    </dxf>
    <dxf>
      <fill>
        <patternFill>
          <bgColor rgb="FFDE7465"/>
        </patternFill>
      </fill>
    </dxf>
    <dxf>
      <fill>
        <patternFill>
          <bgColor rgb="FF92D050"/>
        </patternFill>
      </fill>
    </dxf>
    <dxf>
      <fill>
        <patternFill>
          <bgColor rgb="FFDE7465"/>
        </patternFill>
      </fill>
    </dxf>
    <dxf>
      <fill>
        <patternFill>
          <bgColor rgb="FF92D050"/>
        </patternFill>
      </fill>
    </dxf>
    <dxf>
      <fill>
        <patternFill>
          <bgColor rgb="FFDE7465"/>
        </patternFill>
      </fill>
    </dxf>
    <dxf>
      <fill>
        <patternFill>
          <bgColor rgb="FF92D050"/>
        </patternFill>
      </fill>
    </dxf>
    <dxf>
      <fill>
        <patternFill>
          <bgColor rgb="FFDE7465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8EA9DB"/>
      <color rgb="FFDE7465"/>
      <color rgb="FFF1F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73</xdr:col>
          <xdr:colOff>635000</xdr:colOff>
          <xdr:row>2</xdr:row>
          <xdr:rowOff>88900</xdr:rowOff>
        </xdr:from>
        <xdr:to>
          <xdr:col>75</xdr:col>
          <xdr:colOff>939800</xdr:colOff>
          <xdr:row>4</xdr:row>
          <xdr:rowOff>12700</xdr:rowOff>
        </xdr:to>
        <xdr:sp macro="" textlink="">
          <xdr:nvSpPr>
            <xdr:cNvPr id="1025" name="Button 6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0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Adicionar Novo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aneiro" displayName="Janeiro" ref="C7:AG17" totalsRowShown="0" headerRowDxfId="98">
  <autoFilter ref="C7:AG17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00000000-0010-0000-0000-000001000000}" name="1"/>
    <tableColumn id="2" xr3:uid="{00000000-0010-0000-0000-000002000000}" name="2"/>
    <tableColumn id="3" xr3:uid="{00000000-0010-0000-0000-000003000000}" name="3"/>
    <tableColumn id="4" xr3:uid="{00000000-0010-0000-0000-000004000000}" name="4"/>
    <tableColumn id="5" xr3:uid="{00000000-0010-0000-0000-000005000000}" name="5"/>
    <tableColumn id="6" xr3:uid="{00000000-0010-0000-0000-000006000000}" name="6"/>
    <tableColumn id="7" xr3:uid="{00000000-0010-0000-0000-000007000000}" name="7"/>
    <tableColumn id="8" xr3:uid="{00000000-0010-0000-0000-000008000000}" name="8"/>
    <tableColumn id="9" xr3:uid="{00000000-0010-0000-0000-000009000000}" name="9"/>
    <tableColumn id="10" xr3:uid="{00000000-0010-0000-0000-00000A000000}" name="10"/>
    <tableColumn id="11" xr3:uid="{00000000-0010-0000-0000-00000B000000}" name="11"/>
    <tableColumn id="12" xr3:uid="{00000000-0010-0000-0000-00000C000000}" name="12"/>
    <tableColumn id="13" xr3:uid="{00000000-0010-0000-0000-00000D000000}" name="13"/>
    <tableColumn id="14" xr3:uid="{00000000-0010-0000-0000-00000E000000}" name="14"/>
    <tableColumn id="15" xr3:uid="{00000000-0010-0000-0000-00000F000000}" name="15"/>
    <tableColumn id="16" xr3:uid="{00000000-0010-0000-0000-000010000000}" name="16"/>
    <tableColumn id="17" xr3:uid="{00000000-0010-0000-0000-000011000000}" name="17"/>
    <tableColumn id="18" xr3:uid="{00000000-0010-0000-0000-000012000000}" name="18"/>
    <tableColumn id="19" xr3:uid="{00000000-0010-0000-0000-000013000000}" name="19"/>
    <tableColumn id="20" xr3:uid="{00000000-0010-0000-0000-000014000000}" name="20"/>
    <tableColumn id="21" xr3:uid="{00000000-0010-0000-0000-000015000000}" name="21"/>
    <tableColumn id="22" xr3:uid="{00000000-0010-0000-0000-000016000000}" name="22"/>
    <tableColumn id="23" xr3:uid="{00000000-0010-0000-0000-000017000000}" name="23"/>
    <tableColumn id="24" xr3:uid="{00000000-0010-0000-0000-000018000000}" name="24"/>
    <tableColumn id="25" xr3:uid="{00000000-0010-0000-0000-000019000000}" name="25"/>
    <tableColumn id="26" xr3:uid="{00000000-0010-0000-0000-00001A000000}" name="26"/>
    <tableColumn id="27" xr3:uid="{00000000-0010-0000-0000-00001B000000}" name="27"/>
    <tableColumn id="28" xr3:uid="{00000000-0010-0000-0000-00001C000000}" name="28"/>
    <tableColumn id="29" xr3:uid="{00000000-0010-0000-0000-00001D000000}" name="29"/>
    <tableColumn id="30" xr3:uid="{00000000-0010-0000-0000-00001E000000}" name="30"/>
    <tableColumn id="31" xr3:uid="{00000000-0010-0000-0000-00001F000000}" name="31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Fevereiro" displayName="Fevereiro" ref="AH7:BL17" totalsRowShown="0" headerRowDxfId="97">
  <autoFilter ref="AH7:BL1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00000000-0010-0000-0100-000001000000}" name="1"/>
    <tableColumn id="2" xr3:uid="{00000000-0010-0000-0100-000002000000}" name="2"/>
    <tableColumn id="3" xr3:uid="{00000000-0010-0000-0100-000003000000}" name="3"/>
    <tableColumn id="4" xr3:uid="{00000000-0010-0000-0100-000004000000}" name="4"/>
    <tableColumn id="5" xr3:uid="{00000000-0010-0000-0100-000005000000}" name="5"/>
    <tableColumn id="6" xr3:uid="{00000000-0010-0000-0100-000006000000}" name="6"/>
    <tableColumn id="7" xr3:uid="{00000000-0010-0000-0100-000007000000}" name="7"/>
    <tableColumn id="8" xr3:uid="{00000000-0010-0000-0100-000008000000}" name="8"/>
    <tableColumn id="9" xr3:uid="{00000000-0010-0000-0100-000009000000}" name="9"/>
    <tableColumn id="10" xr3:uid="{00000000-0010-0000-0100-00000A000000}" name="10"/>
    <tableColumn id="11" xr3:uid="{00000000-0010-0000-0100-00000B000000}" name="11"/>
    <tableColumn id="12" xr3:uid="{00000000-0010-0000-0100-00000C000000}" name="12"/>
    <tableColumn id="13" xr3:uid="{00000000-0010-0000-0100-00000D000000}" name="13"/>
    <tableColumn id="14" xr3:uid="{00000000-0010-0000-0100-00000E000000}" name="14"/>
    <tableColumn id="15" xr3:uid="{00000000-0010-0000-0100-00000F000000}" name="15"/>
    <tableColumn id="16" xr3:uid="{00000000-0010-0000-0100-000010000000}" name="16"/>
    <tableColumn id="17" xr3:uid="{00000000-0010-0000-0100-000011000000}" name="17"/>
    <tableColumn id="18" xr3:uid="{00000000-0010-0000-0100-000012000000}" name="18"/>
    <tableColumn id="19" xr3:uid="{00000000-0010-0000-0100-000013000000}" name="19"/>
    <tableColumn id="20" xr3:uid="{00000000-0010-0000-0100-000014000000}" name="20"/>
    <tableColumn id="21" xr3:uid="{00000000-0010-0000-0100-000015000000}" name="21"/>
    <tableColumn id="22" xr3:uid="{00000000-0010-0000-0100-000016000000}" name="22"/>
    <tableColumn id="23" xr3:uid="{00000000-0010-0000-0100-000017000000}" name="23"/>
    <tableColumn id="24" xr3:uid="{00000000-0010-0000-0100-000018000000}" name="24"/>
    <tableColumn id="25" xr3:uid="{00000000-0010-0000-0100-000019000000}" name="25"/>
    <tableColumn id="26" xr3:uid="{00000000-0010-0000-0100-00001A000000}" name="26"/>
    <tableColumn id="27" xr3:uid="{00000000-0010-0000-0100-00001B000000}" name="27"/>
    <tableColumn id="28" xr3:uid="{00000000-0010-0000-0100-00001C000000}" name="28"/>
    <tableColumn id="29" xr3:uid="{00000000-0010-0000-0100-00001D000000}" name="29"/>
    <tableColumn id="30" xr3:uid="{00000000-0010-0000-0100-00001E000000}" name="30"/>
    <tableColumn id="31" xr3:uid="{00000000-0010-0000-0100-00001F000000}" name="31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arco" displayName="Marco" ref="C24:AG34" headerRowDxfId="96">
  <autoFilter ref="C24:AG34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00000000-0010-0000-0200-000001000000}" name="1"/>
    <tableColumn id="2" xr3:uid="{00000000-0010-0000-0200-000002000000}" name="2"/>
    <tableColumn id="3" xr3:uid="{00000000-0010-0000-0200-000003000000}" name="3"/>
    <tableColumn id="4" xr3:uid="{00000000-0010-0000-0200-000004000000}" name="4"/>
    <tableColumn id="5" xr3:uid="{00000000-0010-0000-0200-000005000000}" name="5"/>
    <tableColumn id="6" xr3:uid="{00000000-0010-0000-0200-000006000000}" name="6"/>
    <tableColumn id="7" xr3:uid="{00000000-0010-0000-0200-000007000000}" name="7"/>
    <tableColumn id="8" xr3:uid="{00000000-0010-0000-0200-000008000000}" name="8"/>
    <tableColumn id="9" xr3:uid="{00000000-0010-0000-0200-000009000000}" name="9"/>
    <tableColumn id="10" xr3:uid="{00000000-0010-0000-0200-00000A000000}" name="10"/>
    <tableColumn id="11" xr3:uid="{00000000-0010-0000-0200-00000B000000}" name="11"/>
    <tableColumn id="12" xr3:uid="{00000000-0010-0000-0200-00000C000000}" name="12"/>
    <tableColumn id="13" xr3:uid="{00000000-0010-0000-0200-00000D000000}" name="13"/>
    <tableColumn id="14" xr3:uid="{00000000-0010-0000-0200-00000E000000}" name="14"/>
    <tableColumn id="15" xr3:uid="{00000000-0010-0000-0200-00000F000000}" name="15"/>
    <tableColumn id="16" xr3:uid="{00000000-0010-0000-0200-000010000000}" name="16"/>
    <tableColumn id="17" xr3:uid="{00000000-0010-0000-0200-000011000000}" name="17"/>
    <tableColumn id="18" xr3:uid="{00000000-0010-0000-0200-000012000000}" name="18"/>
    <tableColumn id="19" xr3:uid="{00000000-0010-0000-0200-000013000000}" name="19"/>
    <tableColumn id="20" xr3:uid="{00000000-0010-0000-0200-000014000000}" name="20"/>
    <tableColumn id="21" xr3:uid="{00000000-0010-0000-0200-000015000000}" name="21"/>
    <tableColumn id="22" xr3:uid="{00000000-0010-0000-0200-000016000000}" name="22"/>
    <tableColumn id="23" xr3:uid="{00000000-0010-0000-0200-000017000000}" name="23"/>
    <tableColumn id="24" xr3:uid="{00000000-0010-0000-0200-000018000000}" name="24"/>
    <tableColumn id="25" xr3:uid="{00000000-0010-0000-0200-000019000000}" name="25"/>
    <tableColumn id="26" xr3:uid="{00000000-0010-0000-0200-00001A000000}" name="26"/>
    <tableColumn id="27" xr3:uid="{00000000-0010-0000-0200-00001B000000}" name="27"/>
    <tableColumn id="28" xr3:uid="{00000000-0010-0000-0200-00001C000000}" name="28"/>
    <tableColumn id="29" xr3:uid="{00000000-0010-0000-0200-00001D000000}" name="29"/>
    <tableColumn id="30" xr3:uid="{00000000-0010-0000-0200-00001E000000}" name="30"/>
    <tableColumn id="31" xr3:uid="{00000000-0010-0000-0200-00001F000000}" name="31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Abril" displayName="Abril" ref="AH24:BL34" totalsRowShown="0" headerRowDxfId="95">
  <autoFilter ref="AH24:BL34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00000000-0010-0000-0300-000001000000}" name="1"/>
    <tableColumn id="2" xr3:uid="{00000000-0010-0000-0300-000002000000}" name="2"/>
    <tableColumn id="3" xr3:uid="{00000000-0010-0000-0300-000003000000}" name="3"/>
    <tableColumn id="4" xr3:uid="{00000000-0010-0000-0300-000004000000}" name="4"/>
    <tableColumn id="5" xr3:uid="{00000000-0010-0000-0300-000005000000}" name="5"/>
    <tableColumn id="6" xr3:uid="{00000000-0010-0000-0300-000006000000}" name="6"/>
    <tableColumn id="7" xr3:uid="{00000000-0010-0000-0300-000007000000}" name="7"/>
    <tableColumn id="8" xr3:uid="{00000000-0010-0000-0300-000008000000}" name="8"/>
    <tableColumn id="9" xr3:uid="{00000000-0010-0000-0300-000009000000}" name="9"/>
    <tableColumn id="10" xr3:uid="{00000000-0010-0000-0300-00000A000000}" name="10"/>
    <tableColumn id="11" xr3:uid="{00000000-0010-0000-0300-00000B000000}" name="11"/>
    <tableColumn id="12" xr3:uid="{00000000-0010-0000-0300-00000C000000}" name="12"/>
    <tableColumn id="13" xr3:uid="{00000000-0010-0000-0300-00000D000000}" name="13"/>
    <tableColumn id="14" xr3:uid="{00000000-0010-0000-0300-00000E000000}" name="14"/>
    <tableColumn id="15" xr3:uid="{00000000-0010-0000-0300-00000F000000}" name="15"/>
    <tableColumn id="16" xr3:uid="{00000000-0010-0000-0300-000010000000}" name="16"/>
    <tableColumn id="17" xr3:uid="{00000000-0010-0000-0300-000011000000}" name="17"/>
    <tableColumn id="18" xr3:uid="{00000000-0010-0000-0300-000012000000}" name="18"/>
    <tableColumn id="19" xr3:uid="{00000000-0010-0000-0300-000013000000}" name="19"/>
    <tableColumn id="20" xr3:uid="{00000000-0010-0000-0300-000014000000}" name="20"/>
    <tableColumn id="21" xr3:uid="{00000000-0010-0000-0300-000015000000}" name="21"/>
    <tableColumn id="22" xr3:uid="{00000000-0010-0000-0300-000016000000}" name="22"/>
    <tableColumn id="23" xr3:uid="{00000000-0010-0000-0300-000017000000}" name="23"/>
    <tableColumn id="24" xr3:uid="{00000000-0010-0000-0300-000018000000}" name="24"/>
    <tableColumn id="25" xr3:uid="{00000000-0010-0000-0300-000019000000}" name="25"/>
    <tableColumn id="26" xr3:uid="{00000000-0010-0000-0300-00001A000000}" name="26"/>
    <tableColumn id="27" xr3:uid="{00000000-0010-0000-0300-00001B000000}" name="27"/>
    <tableColumn id="28" xr3:uid="{00000000-0010-0000-0300-00001C000000}" name="28"/>
    <tableColumn id="29" xr3:uid="{00000000-0010-0000-0300-00001D000000}" name="29"/>
    <tableColumn id="30" xr3:uid="{00000000-0010-0000-0300-00001E000000}" name="30"/>
    <tableColumn id="31" xr3:uid="{00000000-0010-0000-0300-00001F000000}" name="31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AED861-C015-46CD-BF84-CA26B7C0B7E9}" name="Maio" displayName="Maio" ref="C41:AG51" headerRowDxfId="94" dataDxfId="92" headerRowBorderDxfId="93" tableBorderDxfId="91" totalsRowBorderDxfId="90">
  <autoFilter ref="C41:AG51" xr:uid="{81FF2A4D-4B27-4E07-ACE8-28FF97E05A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08406E0E-1E1C-4FB7-BD16-6F87D30D4019}" name="1" totalsRowLabel="Total" dataDxfId="89" totalsRowDxfId="88"/>
    <tableColumn id="2" xr3:uid="{26933CCC-74A5-42E4-AD59-1F5109234FA4}" name="2" dataDxfId="87" totalsRowDxfId="86"/>
    <tableColumn id="3" xr3:uid="{1A3F0E95-82FA-4C92-8A41-7D57F1D9DF30}" name="3" dataDxfId="85" totalsRowDxfId="84"/>
    <tableColumn id="4" xr3:uid="{1E57DABF-F1B0-420F-90A3-16D76EB5E197}" name="4" dataDxfId="83" totalsRowDxfId="82"/>
    <tableColumn id="5" xr3:uid="{259BB7EF-80F8-443C-9FE3-BC63F056D7E0}" name="5" dataDxfId="81" totalsRowDxfId="80"/>
    <tableColumn id="6" xr3:uid="{041006FE-AEB1-4B22-B1AD-B13561FC40FE}" name="6" dataDxfId="79" totalsRowDxfId="78"/>
    <tableColumn id="7" xr3:uid="{11898B7F-0A71-4157-8DA9-CB30BB5DAD57}" name="7" dataDxfId="77" totalsRowDxfId="76"/>
    <tableColumn id="8" xr3:uid="{9DE9DA9C-A030-47B7-A687-6F2710DEACC5}" name="8" dataDxfId="75" totalsRowDxfId="74"/>
    <tableColumn id="9" xr3:uid="{B82C6B90-D0D5-4B15-8E79-55B9FF9D86D3}" name="9" dataDxfId="73" totalsRowDxfId="72"/>
    <tableColumn id="10" xr3:uid="{E52EF943-D5E6-4FD7-8F0B-EAE58DC85FA8}" name="10" dataDxfId="71" totalsRowDxfId="70"/>
    <tableColumn id="11" xr3:uid="{A21A9C10-6C41-4916-A483-F0017D6F01E4}" name="11" dataDxfId="69" totalsRowDxfId="68"/>
    <tableColumn id="12" xr3:uid="{017F5F3B-9C00-4072-935F-1862FBCDFD68}" name="12" dataDxfId="67" totalsRowDxfId="66"/>
    <tableColumn id="13" xr3:uid="{4ECE71E7-99D6-44C7-A627-5BC456D25595}" name="13" dataDxfId="65" totalsRowDxfId="64"/>
    <tableColumn id="14" xr3:uid="{6DA0E839-37BB-4917-BF79-0466BF363EAC}" name="14" dataDxfId="63" totalsRowDxfId="62"/>
    <tableColumn id="15" xr3:uid="{9F00A0F8-DC85-49DD-B95C-0AAECA472C84}" name="15" dataDxfId="61" totalsRowDxfId="60"/>
    <tableColumn id="16" xr3:uid="{ADE1790E-9140-42C3-A75E-379DBC85B6FB}" name="16" dataDxfId="59" totalsRowDxfId="58"/>
    <tableColumn id="17" xr3:uid="{63215B97-85C4-4F40-BC23-DD8306E03234}" name="17" dataDxfId="57" totalsRowDxfId="56"/>
    <tableColumn id="18" xr3:uid="{30B7BBEE-93F8-477B-A84B-F405367B3235}" name="18" dataDxfId="55" totalsRowDxfId="54"/>
    <tableColumn id="19" xr3:uid="{512919C3-8A92-4D8E-AD1A-FAD7529B0AA1}" name="19" dataDxfId="53" totalsRowDxfId="52"/>
    <tableColumn id="20" xr3:uid="{A06BDACD-AB33-4B1A-A502-E873F4B75CC0}" name="20" dataDxfId="51" totalsRowDxfId="50"/>
    <tableColumn id="21" xr3:uid="{54E53C76-5098-43BC-B21C-9F0C5A90F5C4}" name="21" dataDxfId="49" totalsRowDxfId="48"/>
    <tableColumn id="22" xr3:uid="{5023DEC8-7D94-4476-A86B-DF2E1A46F195}" name="22" dataDxfId="47" totalsRowDxfId="46"/>
    <tableColumn id="23" xr3:uid="{2CDA0676-1EAA-4133-B990-77776E6F1ACC}" name="23" dataDxfId="45" totalsRowDxfId="44"/>
    <tableColumn id="24" xr3:uid="{76D009BF-2703-478A-8F85-DCCAA258AD4C}" name="24" dataDxfId="43" totalsRowDxfId="42"/>
    <tableColumn id="25" xr3:uid="{BFCC5A0B-1111-4126-869F-109B21AEE8F7}" name="25" dataDxfId="41" totalsRowDxfId="40"/>
    <tableColumn id="26" xr3:uid="{05438E05-3C4A-4D27-B19B-82CC21861437}" name="26" dataDxfId="39" totalsRowDxfId="38"/>
    <tableColumn id="27" xr3:uid="{0FF94A34-C31E-458C-9023-BC070C1135F4}" name="27" dataDxfId="37" totalsRowDxfId="36"/>
    <tableColumn id="28" xr3:uid="{A0DC5663-D682-4FC5-B5AF-BFF9748B0BCE}" name="28" dataDxfId="35" totalsRowDxfId="34"/>
    <tableColumn id="29" xr3:uid="{3F619395-77F5-4A4F-8976-F90191C27DE8}" name="29" dataDxfId="33" totalsRowDxfId="32"/>
    <tableColumn id="30" xr3:uid="{1E2E29D9-CAB9-4EC2-98A8-E6A01BEEA648}" name="30" dataDxfId="31" totalsRowDxfId="30"/>
    <tableColumn id="31" xr3:uid="{29A728BD-E1D9-4C1D-A68A-B7FC6BBBC112}" name="31" totalsRowFunction="count" dataDxfId="29" totalsRowDxfId="28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D32F9DE-54B7-48AB-9CF6-85271D4E55FB}" name="Junho" displayName="Junho" ref="AH41:BL51" totalsRowShown="0" headerRowDxfId="27" headerRowBorderDxfId="26" tableBorderDxfId="25" totalsRowBorderDxfId="24">
  <autoFilter ref="AH41:BL51" xr:uid="{8797F08D-AA32-4B78-878E-544956286B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910A0D0D-6E0B-4380-AFF4-AAF51B35A42C}" name="1"/>
    <tableColumn id="2" xr3:uid="{8170790C-78B7-4FFF-88F3-2A28F879519A}" name="2"/>
    <tableColumn id="3" xr3:uid="{0DEC87E0-BFAD-4D9A-BC2F-40B65101CEAF}" name="3"/>
    <tableColumn id="4" xr3:uid="{B6A43534-A832-4A6F-B65A-E58BE72EF5CB}" name="4"/>
    <tableColumn id="5" xr3:uid="{81DB608C-3F3C-496E-8231-097D9334B2BC}" name="5"/>
    <tableColumn id="6" xr3:uid="{F57F90C6-0B7E-47DF-A2BB-217296601530}" name="6"/>
    <tableColumn id="7" xr3:uid="{99CB5EB0-52D4-4224-B37E-8FAF117C9118}" name="7"/>
    <tableColumn id="8" xr3:uid="{63F68059-8920-4ECE-8495-6051C1C051B7}" name="8"/>
    <tableColumn id="9" xr3:uid="{5CC8C670-8342-4A39-8341-26CFEF42249B}" name="9"/>
    <tableColumn id="10" xr3:uid="{B86F37E5-2E8D-4739-AEB4-7EFDF0158992}" name="10"/>
    <tableColumn id="11" xr3:uid="{E7CBD130-92D3-4AED-90E9-BCAD4896DF7C}" name="11"/>
    <tableColumn id="12" xr3:uid="{94973D83-849B-4DA5-9955-322B0F58F541}" name="12"/>
    <tableColumn id="13" xr3:uid="{FA0C2A8F-C80B-44B9-8919-76ED4670CD8B}" name="13"/>
    <tableColumn id="14" xr3:uid="{E8F59DB8-FA5D-4529-B29B-DC68D8789DB2}" name="14"/>
    <tableColumn id="15" xr3:uid="{CEB4F20D-E633-49CE-969A-1C820C932A4B}" name="15"/>
    <tableColumn id="16" xr3:uid="{02C26067-81B9-4AF6-A857-C2CA7FA2CD3C}" name="16"/>
    <tableColumn id="17" xr3:uid="{A75ADD24-3D4C-48BF-91A8-42491614E988}" name="17"/>
    <tableColumn id="18" xr3:uid="{900B4018-F5F5-4AB4-AA4F-EB50A47B418F}" name="18"/>
    <tableColumn id="19" xr3:uid="{15DDADB6-6B95-404A-B38E-3FE7A8453A14}" name="19"/>
    <tableColumn id="20" xr3:uid="{073A5CDF-4CD5-4FBA-8355-ADD5993EF68D}" name="20"/>
    <tableColumn id="21" xr3:uid="{BD0FBAA8-E4FC-476D-B53C-F0F570F2C386}" name="21"/>
    <tableColumn id="22" xr3:uid="{138713DA-AB16-4D4C-98E3-589B6C752307}" name="22"/>
    <tableColumn id="23" xr3:uid="{3C27B3F2-BA7C-4F69-8505-B57BCCC8E83A}" name="23"/>
    <tableColumn id="24" xr3:uid="{79FBD582-6552-4197-9E95-0FBFB42C81BB}" name="24"/>
    <tableColumn id="25" xr3:uid="{05CEC160-0876-421A-B894-132E487B16AD}" name="25"/>
    <tableColumn id="26" xr3:uid="{0CF16E5C-8908-447B-A42A-07A5E8DA7FEE}" name="26"/>
    <tableColumn id="27" xr3:uid="{D92356A0-9E02-438F-BEB8-CDFB00268559}" name="27"/>
    <tableColumn id="28" xr3:uid="{504D0BC4-81B2-47D9-8044-ADB971669EBF}" name="28"/>
    <tableColumn id="29" xr3:uid="{49F23BBF-75A3-4C29-8702-BB4C59F50DA2}" name="29"/>
    <tableColumn id="30" xr3:uid="{72A2C304-EE98-4F1B-82D1-F4F525C74886}" name="30"/>
    <tableColumn id="31" xr3:uid="{0E9872B2-FA3E-4A7E-A99C-75D0ABF87680}" name="31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AFEDE7E-7327-4300-89AC-13635C89DF0F}" name="Agosto" displayName="Agosto" ref="AH58:BL68" totalsRowShown="0" headerRowDxfId="23" headerRowBorderDxfId="22" tableBorderDxfId="21" totalsRowBorderDxfId="20">
  <autoFilter ref="AH58:BL68" xr:uid="{1A0DA6C6-9F4D-4CD7-BCB7-7F8C420ECDC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BE0DC1E5-6F8C-4568-B33B-DC25EEB60CF8}" name="1"/>
    <tableColumn id="2" xr3:uid="{E8634AED-2B94-4B12-A83A-E416DD957F3E}" name="2"/>
    <tableColumn id="3" xr3:uid="{93902BC2-0702-4085-AC74-7853B5F08B54}" name="3"/>
    <tableColumn id="4" xr3:uid="{A714CC2C-BC9E-47B4-B3AA-08C0EE66D767}" name="4"/>
    <tableColumn id="5" xr3:uid="{AACC9663-D5EE-47DF-ACC9-F3B5DB2E57A3}" name="5"/>
    <tableColumn id="6" xr3:uid="{E9C7BA1C-71A6-4BC8-AE8A-03E6CE3A2956}" name="6"/>
    <tableColumn id="7" xr3:uid="{0265DF62-BBE9-40E2-BFB8-7CD5D9F52B73}" name="7"/>
    <tableColumn id="8" xr3:uid="{FB3925C0-D913-4359-8884-91658FAE5167}" name="8"/>
    <tableColumn id="9" xr3:uid="{DF78C41F-DCC0-4986-97FE-0C51CA4628E0}" name="9"/>
    <tableColumn id="10" xr3:uid="{126AB3F4-7A47-4782-8F86-8EEED38D51D4}" name="10"/>
    <tableColumn id="11" xr3:uid="{89B30578-340E-4A30-B42A-8F46CC9BB004}" name="11"/>
    <tableColumn id="12" xr3:uid="{E2A68FFC-BCAB-4329-8758-8D5C294D4F5E}" name="12"/>
    <tableColumn id="13" xr3:uid="{2A61DEDC-0A7D-490C-B954-303B9F92C536}" name="13"/>
    <tableColumn id="14" xr3:uid="{6E0C8C4C-626C-4645-9F8D-ED1EF6285CAB}" name="14"/>
    <tableColumn id="15" xr3:uid="{146BFF3B-C38D-4A09-802D-920BF1F92470}" name="15"/>
    <tableColumn id="16" xr3:uid="{50C63A66-BBA3-4B1C-9AFD-B87C88C7713F}" name="16"/>
    <tableColumn id="17" xr3:uid="{C9EDA8D6-DC5C-4FF4-8E2C-FC8FDC53DCFB}" name="17"/>
    <tableColumn id="18" xr3:uid="{CD7CB68F-14E1-456B-B860-FE7AD9235405}" name="18"/>
    <tableColumn id="19" xr3:uid="{53D6007C-49F6-4580-9B40-117DCCD02BA6}" name="19"/>
    <tableColumn id="20" xr3:uid="{B481C9A2-06B7-4D35-B46E-5C9F841B4681}" name="20"/>
    <tableColumn id="21" xr3:uid="{8FB5E9AF-D9C5-442D-9794-C23C5ACBAF76}" name="21"/>
    <tableColumn id="22" xr3:uid="{045C9E34-141F-424B-816A-516176C68F10}" name="22"/>
    <tableColumn id="23" xr3:uid="{E6F363EA-7824-4EF6-8BF0-8A8A361A6F28}" name="23"/>
    <tableColumn id="24" xr3:uid="{3BAF4A1E-4056-4846-BB6F-56D945AAB39B}" name="24"/>
    <tableColumn id="25" xr3:uid="{E380643B-2B23-4DF4-AD3B-5B43E9029764}" name="25"/>
    <tableColumn id="26" xr3:uid="{3C1A2198-F261-4D64-B8B5-E4CC976BCBCF}" name="26"/>
    <tableColumn id="27" xr3:uid="{EC34E459-D6D7-4BEB-A17C-F14CDA47621A}" name="27"/>
    <tableColumn id="28" xr3:uid="{B1F6A3AF-C6FC-4CEC-AEB4-7A970EB303F5}" name="28"/>
    <tableColumn id="29" xr3:uid="{E52471F3-8C4C-4A4F-842B-6620E7C672EE}" name="29"/>
    <tableColumn id="30" xr3:uid="{E396E899-DDA0-436E-8CB7-796165068734}" name="30"/>
    <tableColumn id="31" xr3:uid="{D667DAE8-5805-4DF6-BA54-5BE445579FDE}" name="31"/>
  </tableColumns>
  <tableStyleInfo name="TableStyleLight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7BC893-499C-4836-9FFB-48EC0732AC41}" name="Outubro" displayName="Outubro" ref="AH75:BL85" totalsRowShown="0" headerRowDxfId="19" headerRowBorderDxfId="18" tableBorderDxfId="17" totalsRowBorderDxfId="16">
  <autoFilter ref="AH75:BL85" xr:uid="{83877D91-66A9-4B7B-A0A0-E7627DD0AC6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53DCAF1A-8450-45B5-ABBA-E1D8C43A64D9}" name="1"/>
    <tableColumn id="2" xr3:uid="{03C97FE0-2949-405A-83CF-28E67D9DC1CC}" name="2"/>
    <tableColumn id="3" xr3:uid="{34D17C36-1D39-4CF2-8A4F-EA706573AFAB}" name="3"/>
    <tableColumn id="4" xr3:uid="{F43E48D4-F542-4348-8EFC-216DDD63A537}" name="4"/>
    <tableColumn id="5" xr3:uid="{0E07DF7D-6799-40EE-B9FC-1C8DABEBDEAC}" name="5"/>
    <tableColumn id="6" xr3:uid="{D7C2D529-CB42-4B51-8664-C1ADA56F3A44}" name="6"/>
    <tableColumn id="7" xr3:uid="{D387CC39-4967-4A19-B24B-9CAEAF21972B}" name="7"/>
    <tableColumn id="8" xr3:uid="{28427937-E540-4604-BCDE-B6604008DAA7}" name="8"/>
    <tableColumn id="9" xr3:uid="{947CA890-8910-41FA-92D9-BB90E7E9E8BD}" name="9"/>
    <tableColumn id="10" xr3:uid="{945CF76A-9977-428D-A7C2-E18A3B0DCCB9}" name="10"/>
    <tableColumn id="11" xr3:uid="{31309CF7-B553-4B8A-9201-53466EDB824D}" name="11"/>
    <tableColumn id="12" xr3:uid="{E96B30B8-7D13-4C12-93AD-691EA31AE0F7}" name="12"/>
    <tableColumn id="13" xr3:uid="{F3F210B7-7240-4099-849F-65F7A43D528B}" name="13"/>
    <tableColumn id="14" xr3:uid="{D9312643-CFB4-4C6D-ADA2-283E30F650DB}" name="14"/>
    <tableColumn id="15" xr3:uid="{ADCB3C8C-3545-43BD-850F-88D5DEF637CC}" name="15"/>
    <tableColumn id="16" xr3:uid="{A0FC939E-F2A9-40BB-8C9C-4818ED095B4A}" name="16"/>
    <tableColumn id="17" xr3:uid="{F9B98067-0089-45B4-B036-58D53C1FF251}" name="17"/>
    <tableColumn id="18" xr3:uid="{C983D0AD-C061-47F0-B4B0-CB5DBB93CAEF}" name="18"/>
    <tableColumn id="19" xr3:uid="{5403C599-2D8E-4F51-954F-0683A56BDB69}" name="19"/>
    <tableColumn id="20" xr3:uid="{7FA26FA2-332D-4D04-A187-55675C32C87A}" name="20"/>
    <tableColumn id="21" xr3:uid="{2946CCEA-3947-4E8B-BA3A-1588250285E1}" name="21"/>
    <tableColumn id="22" xr3:uid="{DBE90853-7D9D-49FC-8B29-708532B8B1A5}" name="22"/>
    <tableColumn id="23" xr3:uid="{C437A141-916D-4A32-BC5E-13CBED52B287}" name="23"/>
    <tableColumn id="24" xr3:uid="{27DE9405-2FB0-40E1-854B-FA0A48280D87}" name="24"/>
    <tableColumn id="25" xr3:uid="{FAB2FA49-501C-4A61-A1C1-5590E5E55365}" name="25"/>
    <tableColumn id="26" xr3:uid="{8A532971-1064-4B62-B8CD-50783092873D}" name="26"/>
    <tableColumn id="27" xr3:uid="{03943AA0-E978-40FC-BA04-09C9E273914F}" name="27"/>
    <tableColumn id="28" xr3:uid="{CCEB5EEB-1839-4CF0-AD75-E62FA60DB28A}" name="28"/>
    <tableColumn id="29" xr3:uid="{962AB260-605F-451E-93B9-A463DC05C055}" name="29"/>
    <tableColumn id="30" xr3:uid="{E3BEF3AC-A401-4B9F-AFBC-388AD4D7C15E}" name="30"/>
    <tableColumn id="31" xr3:uid="{E2406D8C-F892-4A19-B9C2-664BE0338E35}" name="31"/>
  </tableColumns>
  <tableStyleInfo name="TableStyleLight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BB3C65F-0F7A-49D8-94DE-29DE2FCF364D}" name="Dezembro" displayName="Dezembro" ref="AH92:BL102" totalsRowShown="0" headerRowDxfId="15" headerRowBorderDxfId="14" tableBorderDxfId="13" totalsRowBorderDxfId="12">
  <autoFilter ref="AH92:BL102" xr:uid="{8E53A204-EBD8-4812-B284-3B8EBBCB02A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E0CD4BDE-2F9B-4F39-A86F-940D3D36241D}" name="1"/>
    <tableColumn id="2" xr3:uid="{AFC9C881-DEF0-485C-AED4-A8F81492897E}" name="2"/>
    <tableColumn id="3" xr3:uid="{88F35CBB-0A54-4DC2-A2C6-6E61F180678B}" name="3"/>
    <tableColumn id="4" xr3:uid="{13C028DF-4273-490C-A22E-C79ABB0C602F}" name="4"/>
    <tableColumn id="5" xr3:uid="{A91CEE97-27A5-44CB-9BD3-06720E97269B}" name="5"/>
    <tableColumn id="6" xr3:uid="{B24FDDC5-1082-46E0-AD84-E5A680EDA6FA}" name="6"/>
    <tableColumn id="7" xr3:uid="{DEC1C065-4E85-47CB-8B76-A276C2878E86}" name="7"/>
    <tableColumn id="8" xr3:uid="{C4440D61-6E9C-4E87-A341-B62A934EFD4F}" name="8"/>
    <tableColumn id="9" xr3:uid="{E5087CED-C7AA-468D-A2D2-9837890A4E79}" name="9"/>
    <tableColumn id="10" xr3:uid="{FD3CB5B7-F84B-4AE6-ACC2-98BBEC7C4A26}" name="10"/>
    <tableColumn id="11" xr3:uid="{C538E937-6B85-4D88-A977-57602B8035B1}" name="11"/>
    <tableColumn id="12" xr3:uid="{5BAEE109-CEF9-4F3D-A2AF-5A1673B904BF}" name="12"/>
    <tableColumn id="13" xr3:uid="{EB364A20-88DA-4B62-BF97-FC3BDBCA3120}" name="13"/>
    <tableColumn id="14" xr3:uid="{EDCEFD72-652E-47EC-B310-5AF2A0C1D94C}" name="14"/>
    <tableColumn id="15" xr3:uid="{6ECDB928-CCBD-4C08-9B01-73A47D37484A}" name="15"/>
    <tableColumn id="16" xr3:uid="{0B80F37F-E99C-4E95-B35B-93F2EB4FCC17}" name="16"/>
    <tableColumn id="17" xr3:uid="{9435A49D-FB0D-4404-97D4-3688EA9AD455}" name="17"/>
    <tableColumn id="18" xr3:uid="{074F636F-3E07-45CB-AD26-1F8F9C840F6E}" name="18"/>
    <tableColumn id="19" xr3:uid="{19DACCA2-F8F0-4881-8BAF-10C8D71DD13D}" name="19"/>
    <tableColumn id="20" xr3:uid="{E9CF1746-D5A3-440E-A592-F440D4A30354}" name="20"/>
    <tableColumn id="21" xr3:uid="{44AF1659-6469-41DD-921F-EEA8DC59A8A2}" name="21"/>
    <tableColumn id="22" xr3:uid="{B4DA660D-96DB-4A09-A8FF-C25077406DEF}" name="22"/>
    <tableColumn id="23" xr3:uid="{067CD874-1063-4C68-8B68-E8E7FABE40CB}" name="23"/>
    <tableColumn id="24" xr3:uid="{5ADA14A0-4D88-4EAC-8EE0-503BEDF04229}" name="24"/>
    <tableColumn id="25" xr3:uid="{A153712A-AEE6-4E1F-BA79-991C6FA814D4}" name="25"/>
    <tableColumn id="26" xr3:uid="{4611CE7C-882D-45B3-972E-BA7D7B0404F7}" name="26"/>
    <tableColumn id="27" xr3:uid="{1CBD07A2-DBF9-4609-9FD0-07F2094ECA23}" name="27"/>
    <tableColumn id="28" xr3:uid="{9775B747-C86C-4E83-92B6-88C9589C4B5F}" name="28"/>
    <tableColumn id="29" xr3:uid="{AF822553-2EB8-4C83-B195-72FA09964480}" name="29"/>
    <tableColumn id="30" xr3:uid="{3BE92D55-D4C6-4ABD-B4A0-DCCB90304485}" name="30"/>
    <tableColumn id="31" xr3:uid="{0760C6EF-57F6-454B-AF28-13714783BF18}" name="31"/>
  </tableColumns>
  <tableStyleInfo name="TableStyleLight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C438E10-09D5-44A3-9E4B-300044C23189}" name="Novembro" displayName="Novembro" ref="C92:AG102" totalsRowShown="0" headerRowDxfId="11" headerRowBorderDxfId="10" tableBorderDxfId="9" totalsRowBorderDxfId="8">
  <autoFilter ref="C92:AG102" xr:uid="{D0607433-E67F-44C7-9802-24F3B7575B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F6C49501-BFDD-4712-9180-9707F8C0195B}" name="1"/>
    <tableColumn id="2" xr3:uid="{317A2CF2-0519-42B0-9811-4D92FE2A2191}" name="2"/>
    <tableColumn id="3" xr3:uid="{E35E2A9A-8FDC-48C7-9BC0-8EE8416BDB33}" name="3"/>
    <tableColumn id="4" xr3:uid="{5FA58747-5240-4F47-B08C-2412F9F373A5}" name="4"/>
    <tableColumn id="5" xr3:uid="{563A3E10-A251-4B3E-BE69-B41A985B782B}" name="5"/>
    <tableColumn id="6" xr3:uid="{93DE5F65-B908-4C5A-B058-44A7380176DD}" name="6"/>
    <tableColumn id="7" xr3:uid="{0FD087A2-C6AB-4B8B-A334-36FB52631D91}" name="7"/>
    <tableColumn id="8" xr3:uid="{5241AA01-6847-44C4-BC65-66EA99E997C0}" name="8"/>
    <tableColumn id="9" xr3:uid="{D403B97C-D322-42AE-B695-BA4710AB1463}" name="9"/>
    <tableColumn id="10" xr3:uid="{195E8D85-A696-41C6-AABE-86B68EC44AE9}" name="10"/>
    <tableColumn id="11" xr3:uid="{4515F32A-B972-48AB-AFED-08C03640067C}" name="11"/>
    <tableColumn id="12" xr3:uid="{F12D0638-585F-4140-8069-C655C44E23E5}" name="12"/>
    <tableColumn id="13" xr3:uid="{37022E71-90B3-411F-B902-72E2FEF422DC}" name="13"/>
    <tableColumn id="14" xr3:uid="{584D5172-D7CC-4390-8D85-2B68BFE6C7AC}" name="14"/>
    <tableColumn id="15" xr3:uid="{0538A80F-4BF6-413C-8730-C89A9A41122F}" name="15"/>
    <tableColumn id="16" xr3:uid="{D0A51451-51B7-40E4-A718-82C89B81A5AB}" name="16"/>
    <tableColumn id="17" xr3:uid="{634DAFDC-9107-4F2A-BBE7-217095B6DC99}" name="17"/>
    <tableColumn id="18" xr3:uid="{B39C6922-7EBE-41B0-BA99-D2C22D9BDC9E}" name="18"/>
    <tableColumn id="19" xr3:uid="{B734967C-FF75-40C3-BE0F-4336F0811F79}" name="19"/>
    <tableColumn id="20" xr3:uid="{618CCB3B-E07E-4B01-911E-CF11B64EE51B}" name="20"/>
    <tableColumn id="21" xr3:uid="{907B167E-E0B8-4F3B-AB71-1EA5C8ABC922}" name="21"/>
    <tableColumn id="22" xr3:uid="{D40B8A3D-D216-47C8-B2FA-9F48D4367C49}" name="22"/>
    <tableColumn id="23" xr3:uid="{631AFC4B-68BB-426E-84A7-2E569E71888D}" name="23"/>
    <tableColumn id="24" xr3:uid="{BDC2CEBE-67EF-428D-B65C-A3486D109412}" name="24"/>
    <tableColumn id="25" xr3:uid="{38901D82-08E1-4D88-9B8D-7522B0499BD6}" name="25"/>
    <tableColumn id="26" xr3:uid="{447EB7FC-1350-4647-94CF-723A0783D046}" name="26"/>
    <tableColumn id="27" xr3:uid="{5B2DC352-8711-4DCE-AEC1-2AA726A0463E}" name="27"/>
    <tableColumn id="28" xr3:uid="{C2BC226F-D51B-4272-BE8F-FDC2664D84C8}" name="28"/>
    <tableColumn id="29" xr3:uid="{64030EF8-3C20-45D7-B15D-D1F193D1D76E}" name="29"/>
    <tableColumn id="30" xr3:uid="{46F7E31E-A753-4E40-8CA5-64DABAF0D67E}" name="30"/>
    <tableColumn id="31" xr3:uid="{B1CAA4C7-274C-44E0-BAFB-3544B8B97000}" name="Coluna1"/>
  </tableColumns>
  <tableStyleInfo name="TableStyleLight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8A7EA3F-1E60-41EE-8FA8-00A0552A30B1}" name="Setembro" displayName="Setembro" ref="C75:AG85" totalsRowShown="0" headerRowDxfId="7" headerRowBorderDxfId="6" tableBorderDxfId="5" totalsRowBorderDxfId="4">
  <autoFilter ref="C75:AG85" xr:uid="{75056C64-2BAF-4DC0-B99A-55B07C5E6FA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8F0FE49B-9699-46BA-95A0-B3A5693EEACA}" name="1"/>
    <tableColumn id="2" xr3:uid="{921DA7E0-88AC-40B7-BA3D-B8786F2C1817}" name="2"/>
    <tableColumn id="3" xr3:uid="{85E1B034-DF1E-4B81-8ACF-F8D3DE6F3586}" name="3"/>
    <tableColumn id="4" xr3:uid="{CBFFE706-FF9A-48F1-BFDE-76C91822E44B}" name="4"/>
    <tableColumn id="5" xr3:uid="{F0D1B280-37B9-4679-B986-46A7074B114C}" name="5"/>
    <tableColumn id="6" xr3:uid="{6535C6D8-B556-42B3-A1B2-45FEA4AC61A3}" name="6"/>
    <tableColumn id="7" xr3:uid="{96301EF6-9BC2-41C1-9B05-314CB493520F}" name="7"/>
    <tableColumn id="8" xr3:uid="{AF4C2002-BD69-4749-8226-6D661F335B7E}" name="8"/>
    <tableColumn id="9" xr3:uid="{D0F6D4B5-4B0F-4550-9417-372A37211383}" name="9"/>
    <tableColumn id="10" xr3:uid="{56F56916-E9F0-467A-8A89-7A1402D21790}" name="10"/>
    <tableColumn id="11" xr3:uid="{E6D26204-E4A8-4D97-9D27-25B70436975C}" name="11"/>
    <tableColumn id="12" xr3:uid="{627A80CC-4BD6-4CCD-A0AB-0AD2C724F726}" name="12"/>
    <tableColumn id="13" xr3:uid="{1E4D55AA-9C0D-4B17-9CD7-663B63C64D01}" name="13"/>
    <tableColumn id="14" xr3:uid="{CE55FAE0-9562-459F-8085-0B3C4BEA0FBA}" name="14"/>
    <tableColumn id="15" xr3:uid="{62AB5A10-0A5D-452E-B558-6DEBAFD8F492}" name="15"/>
    <tableColumn id="16" xr3:uid="{B6852D07-A681-48AD-A592-F06F955FA3B1}" name="16"/>
    <tableColumn id="17" xr3:uid="{92A07B13-828D-4A65-B814-0D99D80FB130}" name="17"/>
    <tableColumn id="18" xr3:uid="{F9AAE171-2BE0-4A7D-83A2-32DF3085D3B8}" name="18"/>
    <tableColumn id="19" xr3:uid="{DE373FEA-4275-4AD4-ABDC-FBCA41C97AF8}" name="19"/>
    <tableColumn id="20" xr3:uid="{9F02266B-96C3-4B9A-B977-482795043F41}" name="20"/>
    <tableColumn id="21" xr3:uid="{B90101F6-3731-4F38-94B4-00CDBCAE127D}" name="21"/>
    <tableColumn id="22" xr3:uid="{AD97C5A6-9C2F-4ACC-BC0C-B7FD887D072C}" name="22"/>
    <tableColumn id="23" xr3:uid="{D8619560-D403-44EA-B601-11C31480774B}" name="23"/>
    <tableColumn id="24" xr3:uid="{D92E6278-F171-46F0-910A-6A71E2BD5838}" name="24"/>
    <tableColumn id="25" xr3:uid="{2076830A-4DC5-4F39-A0D8-CC0783BCA3D7}" name="25"/>
    <tableColumn id="26" xr3:uid="{CF178D4A-5789-463B-80F7-683ACDAE3247}" name="26"/>
    <tableColumn id="27" xr3:uid="{72F7D3EF-5BB8-495A-A5B0-9ED3B6CFA17D}" name="27"/>
    <tableColumn id="28" xr3:uid="{B09F54DF-2A26-4426-9B20-88E5CA0371F2}" name="28"/>
    <tableColumn id="29" xr3:uid="{39CD758C-EFEB-42AD-8FE5-64CB8FA2325D}" name="29"/>
    <tableColumn id="30" xr3:uid="{18F0307C-9C82-44E2-8EE5-091C4B2BAD35}" name="30"/>
    <tableColumn id="31" xr3:uid="{1C7E0013-D34D-484C-82DC-BF90FB58C817}" name="31"/>
  </tableColumns>
  <tableStyleInfo name="TableStyleLight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71A4FC6-975B-4839-8420-220F339D378E}" name="Julho" displayName="Julho" ref="C58:AG68" totalsRowShown="0" headerRowDxfId="3" headerRowBorderDxfId="2" tableBorderDxfId="1" totalsRowBorderDxfId="0">
  <autoFilter ref="C58:AG68" xr:uid="{875409E3-F044-4C73-85E0-9C0B4D0DDCB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AE80574B-FE96-47B4-BEF8-BA8E8451D2BC}" name="1"/>
    <tableColumn id="2" xr3:uid="{54795DC6-01AF-441C-B6BB-2D99915AC8FF}" name="2"/>
    <tableColumn id="3" xr3:uid="{8B1004E8-5A63-4D18-8E87-76ECE25D0896}" name="3"/>
    <tableColumn id="4" xr3:uid="{2002CF03-3D38-474C-A66F-5C00BC014C90}" name="4"/>
    <tableColumn id="5" xr3:uid="{B9D18D63-BB8E-438E-9A24-B5D39AF35DF6}" name="5"/>
    <tableColumn id="6" xr3:uid="{3BAE8A56-6BA3-44E1-8D0C-DFBD233A4502}" name="6"/>
    <tableColumn id="7" xr3:uid="{A7C65C72-6F0D-42F0-88C4-62DA9169DD3C}" name="7"/>
    <tableColumn id="8" xr3:uid="{056C30C7-2EEA-4341-97F1-B32271D188B8}" name="8"/>
    <tableColumn id="9" xr3:uid="{7F82FAE9-1554-4CDB-A9B2-517FF6A1A106}" name="9"/>
    <tableColumn id="10" xr3:uid="{3CEAE164-66B9-4E85-8704-F187E7417456}" name="10"/>
    <tableColumn id="11" xr3:uid="{CE9DD45F-1AEA-4775-9CE6-F577E9CA9611}" name="11"/>
    <tableColumn id="12" xr3:uid="{F0CE3F94-ED2E-48B5-99C2-E18968D35AB7}" name="12"/>
    <tableColumn id="13" xr3:uid="{7D09D6F5-782E-4F30-948F-B6099891E409}" name="13"/>
    <tableColumn id="14" xr3:uid="{4DAD03A6-DB8E-493E-8DB0-1532FC9C4B56}" name="14"/>
    <tableColumn id="15" xr3:uid="{7608CD5E-941A-4B23-BF3C-8F2389B47F6B}" name="15"/>
    <tableColumn id="16" xr3:uid="{C3664A12-DA65-4AC7-B455-F530D7F156BE}" name="16"/>
    <tableColumn id="17" xr3:uid="{1513FA1E-C624-457E-9899-AF96F8012794}" name="17"/>
    <tableColumn id="18" xr3:uid="{7212C41C-7FDA-43F3-BBA0-6E5F696D7C73}" name="18"/>
    <tableColumn id="19" xr3:uid="{D510CD8A-F1E2-44EC-B429-0B12909617FB}" name="19"/>
    <tableColumn id="20" xr3:uid="{83D12F97-7269-4089-81F6-FC29BF4CA9B7}" name="20"/>
    <tableColumn id="21" xr3:uid="{AAEC3C48-C128-4F70-B072-96FD58B441C7}" name="21"/>
    <tableColumn id="22" xr3:uid="{B2AD1A9A-ADB7-4C16-9785-96C70E627D60}" name="22"/>
    <tableColumn id="23" xr3:uid="{ABB14A64-7DDF-41FB-8F49-22FF7FB2BD7B}" name="23"/>
    <tableColumn id="24" xr3:uid="{B6456572-4FB3-41F7-8F30-36F0F419E3C7}" name="24"/>
    <tableColumn id="25" xr3:uid="{2A26DCE7-BF8E-4917-AD89-3E0768460457}" name="25"/>
    <tableColumn id="26" xr3:uid="{138B7F66-C1C9-469A-8FA4-DFD04000AB36}" name="26"/>
    <tableColumn id="27" xr3:uid="{6C5F35F5-7413-4533-9816-E8E3CDAF3BBC}" name="27"/>
    <tableColumn id="28" xr3:uid="{768086AD-D568-49FE-9F89-BCA70B5782D8}" name="28"/>
    <tableColumn id="29" xr3:uid="{C1D5E30D-9CE7-4B48-B0BF-AB0FC576FBA5}" name="29"/>
    <tableColumn id="30" xr3:uid="{51B72699-CB5F-491F-ABBB-CD704F3CDFED}" name="30"/>
    <tableColumn id="31" xr3:uid="{EBBBE80C-0760-455D-83AF-E94DB80D51AB}" name="3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table" Target="../tables/table9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12" Type="http://schemas.openxmlformats.org/officeDocument/2006/relationships/table" Target="../tables/table8.xml"/><Relationship Id="rId2" Type="http://schemas.openxmlformats.org/officeDocument/2006/relationships/drawing" Target="../drawings/drawing1.xml"/><Relationship Id="rId16" Type="http://schemas.openxmlformats.org/officeDocument/2006/relationships/table" Target="../tables/table1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5" Type="http://schemas.openxmlformats.org/officeDocument/2006/relationships/table" Target="../tables/table1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Relationship Id="rId1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B1:CU115"/>
  <sheetViews>
    <sheetView showGridLines="0" tabSelected="1" zoomScale="70" zoomScaleNormal="70" workbookViewId="0">
      <selection activeCell="G2" sqref="G2"/>
    </sheetView>
  </sheetViews>
  <sheetFormatPr defaultRowHeight="14.5" x14ac:dyDescent="0.35"/>
  <cols>
    <col min="2" max="2" width="25.7265625" style="7" customWidth="1"/>
    <col min="3" max="11" width="4.7265625" customWidth="1"/>
    <col min="12" max="33" width="4.81640625" customWidth="1"/>
    <col min="34" max="42" width="4.7265625" customWidth="1"/>
    <col min="43" max="64" width="4.81640625" customWidth="1"/>
    <col min="65" max="65" width="4.7265625" customWidth="1"/>
    <col min="66" max="66" width="3.08984375" customWidth="1"/>
    <col min="67" max="69" width="4.7265625" hidden="1" customWidth="1"/>
    <col min="70" max="70" width="4.7265625" customWidth="1"/>
    <col min="71" max="71" width="14.54296875" bestFit="1" customWidth="1"/>
    <col min="72" max="72" width="20.1796875" bestFit="1" customWidth="1"/>
    <col min="73" max="73" width="6.81640625" style="36" bestFit="1" customWidth="1"/>
    <col min="74" max="74" width="16.08984375" style="36" customWidth="1"/>
    <col min="75" max="75" width="9.08984375" style="36" bestFit="1" customWidth="1"/>
    <col min="76" max="76" width="15.90625" style="36" bestFit="1" customWidth="1"/>
    <col min="77" max="77" width="15.90625" style="36" customWidth="1"/>
    <col min="78" max="78" width="4.7265625" customWidth="1"/>
    <col min="79" max="79" width="8.08984375" hidden="1" customWidth="1"/>
    <col min="80" max="82" width="4.7265625" hidden="1" customWidth="1"/>
    <col min="83" max="83" width="9.81640625" hidden="1" customWidth="1"/>
    <col min="84" max="88" width="4.7265625" hidden="1" customWidth="1"/>
    <col min="89" max="89" width="9.6328125" hidden="1" customWidth="1"/>
    <col min="90" max="90" width="6.08984375" hidden="1" customWidth="1"/>
    <col min="91" max="91" width="8" hidden="1" customWidth="1"/>
    <col min="92" max="92" width="9.453125" hidden="1" customWidth="1"/>
    <col min="93" max="95" width="4.7265625" hidden="1" customWidth="1"/>
    <col min="96" max="97" width="4.7265625" customWidth="1"/>
    <col min="98" max="98" width="33.26953125" customWidth="1"/>
    <col min="99" max="99" width="11.453125" bestFit="1" customWidth="1"/>
    <col min="100" max="104" width="4.7265625" customWidth="1"/>
  </cols>
  <sheetData>
    <row r="1" spans="2:99" ht="34" thickBot="1" x14ac:dyDescent="0.4">
      <c r="B1" s="6" t="s">
        <v>38</v>
      </c>
      <c r="G1" s="50">
        <v>2019</v>
      </c>
      <c r="H1" s="50"/>
      <c r="I1" s="50"/>
      <c r="AG1" s="43"/>
      <c r="AH1" s="43"/>
      <c r="AI1" s="43"/>
      <c r="AJ1" s="41"/>
      <c r="AK1" s="30">
        <v>8</v>
      </c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BU1"/>
      <c r="BV1"/>
      <c r="BW1"/>
      <c r="BX1"/>
      <c r="BY1"/>
    </row>
    <row r="2" spans="2:99" ht="15" thickBot="1" x14ac:dyDescent="0.4"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BT2" s="31" t="s">
        <v>62</v>
      </c>
      <c r="BU2" s="54" t="s">
        <v>86</v>
      </c>
      <c r="BV2" s="55"/>
      <c r="BW2" s="55"/>
      <c r="BX2" s="55"/>
      <c r="BY2" s="56"/>
    </row>
    <row r="3" spans="2:99" ht="15.5" x14ac:dyDescent="0.35">
      <c r="B3" s="9" t="s">
        <v>35</v>
      </c>
      <c r="C3" s="1" t="s">
        <v>33</v>
      </c>
      <c r="D3" s="52" t="s">
        <v>36</v>
      </c>
      <c r="E3" s="52"/>
      <c r="F3" s="52"/>
      <c r="G3" s="2" t="s">
        <v>34</v>
      </c>
      <c r="H3" s="52" t="s">
        <v>52</v>
      </c>
      <c r="I3" s="52"/>
      <c r="J3" s="52"/>
      <c r="K3" s="52"/>
      <c r="L3" s="32" t="s">
        <v>84</v>
      </c>
      <c r="M3" s="52" t="s">
        <v>57</v>
      </c>
      <c r="N3" s="52"/>
      <c r="O3" s="52"/>
      <c r="P3" s="52"/>
      <c r="Q3" s="4" t="s">
        <v>41</v>
      </c>
      <c r="R3" s="53" t="s">
        <v>37</v>
      </c>
      <c r="S3" s="52"/>
      <c r="T3" s="52"/>
      <c r="U3" s="52"/>
      <c r="V3" s="5" t="s">
        <v>42</v>
      </c>
      <c r="W3" s="53" t="s">
        <v>53</v>
      </c>
      <c r="X3" s="53"/>
      <c r="Y3" s="53"/>
      <c r="Z3" s="5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BU3"/>
      <c r="BV3"/>
      <c r="BW3"/>
      <c r="BX3"/>
      <c r="BY3"/>
      <c r="CL3" t="s">
        <v>66</v>
      </c>
      <c r="CO3" t="s">
        <v>67</v>
      </c>
      <c r="CT3" s="48" t="s">
        <v>82</v>
      </c>
      <c r="CU3" s="48" t="s">
        <v>83</v>
      </c>
    </row>
    <row r="4" spans="2:99" x14ac:dyDescent="0.35">
      <c r="BU4"/>
      <c r="BV4"/>
      <c r="BW4"/>
      <c r="BX4"/>
      <c r="BY4"/>
      <c r="BZ4" s="39"/>
      <c r="CA4" s="39"/>
      <c r="CB4" s="39"/>
      <c r="CC4" s="39"/>
      <c r="CD4" s="39"/>
      <c r="CE4" s="39"/>
      <c r="CF4" s="39"/>
      <c r="CG4" s="39"/>
      <c r="CH4" s="39"/>
      <c r="CK4" t="s">
        <v>0</v>
      </c>
      <c r="CL4" s="31" t="str">
        <f>$CL$3&amp;CM4</f>
        <v>C$7</v>
      </c>
      <c r="CM4">
        <v>7</v>
      </c>
      <c r="CN4" s="39" t="s">
        <v>39</v>
      </c>
      <c r="CO4" s="39" t="str">
        <f>$CO$3&amp;CP4</f>
        <v>AH$7</v>
      </c>
      <c r="CP4">
        <v>7</v>
      </c>
      <c r="CT4" s="46" t="s">
        <v>68</v>
      </c>
      <c r="CU4" s="47">
        <f>DATE(AnoDoCalendário,1,1)</f>
        <v>43466</v>
      </c>
    </row>
    <row r="5" spans="2:99" ht="17.5" thickBot="1" x14ac:dyDescent="0.4">
      <c r="C5" s="51" t="s">
        <v>0</v>
      </c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 t="s">
        <v>39</v>
      </c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U5"/>
      <c r="BV5"/>
      <c r="BW5"/>
      <c r="BX5"/>
      <c r="BY5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 t="s">
        <v>65</v>
      </c>
      <c r="CL5" s="31" t="str">
        <f t="shared" ref="CL5:CL9" si="0">$CL$3&amp;CM5</f>
        <v>C$24</v>
      </c>
      <c r="CM5">
        <f>CM4+$BT$6+6+1</f>
        <v>24</v>
      </c>
      <c r="CN5" s="39" t="s">
        <v>43</v>
      </c>
      <c r="CO5" s="39" t="str">
        <f t="shared" ref="CO5:CO9" si="1">$CO$3&amp;CP5</f>
        <v>AH$24</v>
      </c>
      <c r="CP5">
        <f>CM5</f>
        <v>24</v>
      </c>
      <c r="CT5" s="46" t="s">
        <v>73</v>
      </c>
      <c r="CU5" s="47">
        <f>CU8-60</f>
        <v>43516</v>
      </c>
    </row>
    <row r="6" spans="2:99" ht="15" thickTop="1" x14ac:dyDescent="0.35">
      <c r="C6" s="7" t="str">
        <f t="shared" ref="C6:AG6" si="2">UPPER(LEFT(TEXT(WEEKDAY(DATE(AnoDoCalendário,1,C7),1),"ddd"),1))</f>
        <v>T</v>
      </c>
      <c r="D6" s="7" t="str">
        <f t="shared" si="2"/>
        <v>Q</v>
      </c>
      <c r="E6" s="7" t="str">
        <f t="shared" si="2"/>
        <v>Q</v>
      </c>
      <c r="F6" s="7" t="str">
        <f t="shared" si="2"/>
        <v>S</v>
      </c>
      <c r="G6" s="7" t="str">
        <f t="shared" si="2"/>
        <v>S</v>
      </c>
      <c r="H6" s="7" t="str">
        <f t="shared" si="2"/>
        <v>D</v>
      </c>
      <c r="I6" s="7" t="str">
        <f t="shared" si="2"/>
        <v>S</v>
      </c>
      <c r="J6" s="7" t="str">
        <f t="shared" si="2"/>
        <v>T</v>
      </c>
      <c r="K6" s="7" t="str">
        <f t="shared" si="2"/>
        <v>Q</v>
      </c>
      <c r="L6" s="7" t="str">
        <f t="shared" si="2"/>
        <v>Q</v>
      </c>
      <c r="M6" s="7" t="str">
        <f t="shared" si="2"/>
        <v>S</v>
      </c>
      <c r="N6" s="7" t="str">
        <f t="shared" si="2"/>
        <v>S</v>
      </c>
      <c r="O6" s="7" t="str">
        <f t="shared" si="2"/>
        <v>D</v>
      </c>
      <c r="P6" s="7" t="str">
        <f t="shared" si="2"/>
        <v>S</v>
      </c>
      <c r="Q6" s="7" t="str">
        <f t="shared" si="2"/>
        <v>T</v>
      </c>
      <c r="R6" s="7" t="str">
        <f t="shared" si="2"/>
        <v>Q</v>
      </c>
      <c r="S6" s="7" t="str">
        <f t="shared" si="2"/>
        <v>Q</v>
      </c>
      <c r="T6" s="7" t="str">
        <f t="shared" si="2"/>
        <v>S</v>
      </c>
      <c r="U6" s="7" t="str">
        <f t="shared" si="2"/>
        <v>S</v>
      </c>
      <c r="V6" s="7" t="str">
        <f t="shared" si="2"/>
        <v>D</v>
      </c>
      <c r="W6" s="7" t="str">
        <f t="shared" si="2"/>
        <v>S</v>
      </c>
      <c r="X6" s="7" t="str">
        <f t="shared" si="2"/>
        <v>T</v>
      </c>
      <c r="Y6" s="7" t="str">
        <f t="shared" si="2"/>
        <v>Q</v>
      </c>
      <c r="Z6" s="7" t="str">
        <f t="shared" si="2"/>
        <v>Q</v>
      </c>
      <c r="AA6" s="7" t="str">
        <f t="shared" si="2"/>
        <v>S</v>
      </c>
      <c r="AB6" s="7" t="str">
        <f t="shared" si="2"/>
        <v>S</v>
      </c>
      <c r="AC6" s="7" t="str">
        <f t="shared" si="2"/>
        <v>D</v>
      </c>
      <c r="AD6" s="7" t="str">
        <f t="shared" si="2"/>
        <v>S</v>
      </c>
      <c r="AE6" s="7" t="str">
        <f t="shared" si="2"/>
        <v>T</v>
      </c>
      <c r="AF6" s="7" t="str">
        <f t="shared" si="2"/>
        <v>Q</v>
      </c>
      <c r="AG6" s="7" t="str">
        <f t="shared" si="2"/>
        <v>Q</v>
      </c>
      <c r="AH6" s="12" t="str">
        <f t="shared" ref="AH6:BJ6" si="3">UPPER(LEFT(TEXT(WEEKDAY(DATE(AnoDoCalendário,2,AH7),1),"ddd"),1))</f>
        <v>S</v>
      </c>
      <c r="AI6" s="7" t="str">
        <f t="shared" si="3"/>
        <v>S</v>
      </c>
      <c r="AJ6" s="7" t="str">
        <f t="shared" si="3"/>
        <v>D</v>
      </c>
      <c r="AK6" s="7" t="str">
        <f t="shared" si="3"/>
        <v>S</v>
      </c>
      <c r="AL6" s="7" t="str">
        <f t="shared" si="3"/>
        <v>T</v>
      </c>
      <c r="AM6" s="7" t="str">
        <f t="shared" si="3"/>
        <v>Q</v>
      </c>
      <c r="AN6" s="7" t="str">
        <f t="shared" si="3"/>
        <v>Q</v>
      </c>
      <c r="AO6" s="7" t="str">
        <f t="shared" si="3"/>
        <v>S</v>
      </c>
      <c r="AP6" s="7" t="str">
        <f t="shared" si="3"/>
        <v>S</v>
      </c>
      <c r="AQ6" s="7" t="str">
        <f t="shared" si="3"/>
        <v>D</v>
      </c>
      <c r="AR6" s="7" t="str">
        <f t="shared" si="3"/>
        <v>S</v>
      </c>
      <c r="AS6" s="7" t="str">
        <f t="shared" si="3"/>
        <v>T</v>
      </c>
      <c r="AT6" s="7" t="str">
        <f t="shared" si="3"/>
        <v>Q</v>
      </c>
      <c r="AU6" s="7" t="str">
        <f t="shared" si="3"/>
        <v>Q</v>
      </c>
      <c r="AV6" s="7" t="str">
        <f t="shared" si="3"/>
        <v>S</v>
      </c>
      <c r="AW6" s="7" t="str">
        <f t="shared" si="3"/>
        <v>S</v>
      </c>
      <c r="AX6" s="7" t="str">
        <f t="shared" si="3"/>
        <v>D</v>
      </c>
      <c r="AY6" s="7" t="str">
        <f t="shared" si="3"/>
        <v>S</v>
      </c>
      <c r="AZ6" s="7" t="str">
        <f t="shared" si="3"/>
        <v>T</v>
      </c>
      <c r="BA6" s="7" t="str">
        <f t="shared" si="3"/>
        <v>Q</v>
      </c>
      <c r="BB6" s="7" t="str">
        <f t="shared" si="3"/>
        <v>Q</v>
      </c>
      <c r="BC6" s="7" t="str">
        <f t="shared" si="3"/>
        <v>S</v>
      </c>
      <c r="BD6" s="7" t="str">
        <f t="shared" si="3"/>
        <v>S</v>
      </c>
      <c r="BE6" s="7" t="str">
        <f t="shared" si="3"/>
        <v>D</v>
      </c>
      <c r="BF6" s="7" t="str">
        <f t="shared" si="3"/>
        <v>S</v>
      </c>
      <c r="BG6" s="7" t="str">
        <f t="shared" si="3"/>
        <v>T</v>
      </c>
      <c r="BH6" s="7" t="str">
        <f t="shared" si="3"/>
        <v>Q</v>
      </c>
      <c r="BI6" s="7" t="str">
        <f t="shared" si="3"/>
        <v>Q</v>
      </c>
      <c r="BJ6" s="7" t="str">
        <f t="shared" si="3"/>
        <v>S</v>
      </c>
      <c r="BK6" s="7"/>
      <c r="BL6" s="7"/>
      <c r="BT6" s="42">
        <f>COUNTA(BT8:BT41)</f>
        <v>10</v>
      </c>
      <c r="BU6" s="36" t="str">
        <f>D3</f>
        <v>Férias</v>
      </c>
      <c r="BV6" s="38" t="str">
        <f>H3</f>
        <v>Formação</v>
      </c>
      <c r="BW6" s="38" t="str">
        <f>M3</f>
        <v>Feriados</v>
      </c>
      <c r="BX6" s="38" t="str">
        <f>R3</f>
        <v>Personalizado 2</v>
      </c>
      <c r="BY6" s="38" t="str">
        <f>W3</f>
        <v>Personalizado 3</v>
      </c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 t="s">
        <v>44</v>
      </c>
      <c r="CL6" s="31" t="str">
        <f t="shared" si="0"/>
        <v>C$41</v>
      </c>
      <c r="CM6">
        <f t="shared" ref="CM6:CM9" si="4">CM5+$BT$6+6+1</f>
        <v>41</v>
      </c>
      <c r="CN6" s="39" t="s">
        <v>45</v>
      </c>
      <c r="CO6" s="39" t="str">
        <f t="shared" si="1"/>
        <v>AH$41</v>
      </c>
      <c r="CP6">
        <f t="shared" ref="CP6:CP9" si="5">CM6</f>
        <v>41</v>
      </c>
      <c r="CT6" s="46" t="s">
        <v>71</v>
      </c>
      <c r="CU6" s="47">
        <f>CU8-47</f>
        <v>43529</v>
      </c>
    </row>
    <row r="7" spans="2:99" x14ac:dyDescent="0.35">
      <c r="B7" s="29" t="s">
        <v>1</v>
      </c>
      <c r="C7" s="10" t="s">
        <v>2</v>
      </c>
      <c r="D7" s="8" t="s">
        <v>3</v>
      </c>
      <c r="E7" s="8" t="s">
        <v>4</v>
      </c>
      <c r="F7" s="8" t="s">
        <v>5</v>
      </c>
      <c r="G7" s="8" t="s">
        <v>6</v>
      </c>
      <c r="H7" s="8" t="s">
        <v>7</v>
      </c>
      <c r="I7" s="8" t="s">
        <v>8</v>
      </c>
      <c r="J7" s="8" t="s">
        <v>9</v>
      </c>
      <c r="K7" s="8" t="s">
        <v>10</v>
      </c>
      <c r="L7" s="8" t="s">
        <v>11</v>
      </c>
      <c r="M7" s="8" t="s">
        <v>12</v>
      </c>
      <c r="N7" s="8" t="s">
        <v>13</v>
      </c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  <c r="V7" s="8" t="s">
        <v>21</v>
      </c>
      <c r="W7" s="8" t="s">
        <v>22</v>
      </c>
      <c r="X7" s="8" t="s">
        <v>23</v>
      </c>
      <c r="Y7" s="8" t="s">
        <v>24</v>
      </c>
      <c r="Z7" s="8" t="s">
        <v>25</v>
      </c>
      <c r="AA7" s="8" t="s">
        <v>26</v>
      </c>
      <c r="AB7" s="8" t="s">
        <v>27</v>
      </c>
      <c r="AC7" s="8" t="s">
        <v>28</v>
      </c>
      <c r="AD7" s="8" t="s">
        <v>29</v>
      </c>
      <c r="AE7" s="8" t="s">
        <v>30</v>
      </c>
      <c r="AF7" s="8" t="s">
        <v>31</v>
      </c>
      <c r="AG7" s="8" t="s">
        <v>32</v>
      </c>
      <c r="AH7" s="13" t="s">
        <v>2</v>
      </c>
      <c r="AI7" s="8" t="s">
        <v>3</v>
      </c>
      <c r="AJ7" s="8" t="s">
        <v>4</v>
      </c>
      <c r="AK7" s="8" t="s">
        <v>5</v>
      </c>
      <c r="AL7" s="8" t="s">
        <v>6</v>
      </c>
      <c r="AM7" s="8" t="s">
        <v>7</v>
      </c>
      <c r="AN7" s="8" t="s">
        <v>8</v>
      </c>
      <c r="AO7" s="8" t="s">
        <v>9</v>
      </c>
      <c r="AP7" s="8" t="s">
        <v>10</v>
      </c>
      <c r="AQ7" s="8" t="s">
        <v>11</v>
      </c>
      <c r="AR7" s="8" t="s">
        <v>12</v>
      </c>
      <c r="AS7" s="8" t="s">
        <v>13</v>
      </c>
      <c r="AT7" s="8" t="s">
        <v>14</v>
      </c>
      <c r="AU7" s="8" t="s">
        <v>15</v>
      </c>
      <c r="AV7" s="8" t="s">
        <v>16</v>
      </c>
      <c r="AW7" s="8" t="s">
        <v>17</v>
      </c>
      <c r="AX7" s="8" t="s">
        <v>18</v>
      </c>
      <c r="AY7" s="8" t="s">
        <v>19</v>
      </c>
      <c r="AZ7" s="8" t="s">
        <v>20</v>
      </c>
      <c r="BA7" s="8" t="s">
        <v>21</v>
      </c>
      <c r="BB7" s="8" t="s">
        <v>22</v>
      </c>
      <c r="BC7" s="8" t="s">
        <v>23</v>
      </c>
      <c r="BD7" s="8" t="s">
        <v>24</v>
      </c>
      <c r="BE7" s="8" t="s">
        <v>25</v>
      </c>
      <c r="BF7" s="8" t="s">
        <v>26</v>
      </c>
      <c r="BG7" s="8" t="s">
        <v>27</v>
      </c>
      <c r="BH7" s="8" t="s">
        <v>28</v>
      </c>
      <c r="BI7" s="8" t="s">
        <v>29</v>
      </c>
      <c r="BJ7" s="8" t="s">
        <v>30</v>
      </c>
      <c r="BK7" s="35" t="s">
        <v>31</v>
      </c>
      <c r="BL7" s="35" t="s">
        <v>32</v>
      </c>
      <c r="BT7" s="11" t="s">
        <v>1</v>
      </c>
      <c r="BU7" s="1" t="str">
        <f>TipoFerias</f>
        <v>F</v>
      </c>
      <c r="BV7" s="2" t="str">
        <f>TipoFormacao</f>
        <v>M</v>
      </c>
      <c r="BW7" s="3" t="str">
        <f>Tipo1</f>
        <v>-</v>
      </c>
      <c r="BX7" s="4" t="str">
        <f>Tipo2</f>
        <v>B</v>
      </c>
      <c r="BY7" s="5" t="str">
        <f>Tipo3</f>
        <v>C</v>
      </c>
      <c r="BZ7" s="39"/>
      <c r="CA7" s="39"/>
      <c r="CB7" s="40"/>
      <c r="CC7" s="40"/>
      <c r="CD7" s="40">
        <v>1</v>
      </c>
      <c r="CE7" s="40">
        <v>2</v>
      </c>
      <c r="CF7" s="40">
        <v>3</v>
      </c>
      <c r="CG7" s="40">
        <v>4</v>
      </c>
      <c r="CH7" s="40">
        <v>5</v>
      </c>
      <c r="CI7" s="40">
        <v>6</v>
      </c>
      <c r="CJ7" s="39"/>
      <c r="CK7" s="39" t="s">
        <v>46</v>
      </c>
      <c r="CL7" s="31" t="str">
        <f t="shared" si="0"/>
        <v>C$58</v>
      </c>
      <c r="CM7">
        <f t="shared" si="4"/>
        <v>58</v>
      </c>
      <c r="CN7" s="39" t="s">
        <v>47</v>
      </c>
      <c r="CO7" s="39" t="str">
        <f t="shared" si="1"/>
        <v>AH$58</v>
      </c>
      <c r="CP7">
        <f t="shared" si="5"/>
        <v>58</v>
      </c>
      <c r="CT7" s="46" t="s">
        <v>72</v>
      </c>
      <c r="CU7" s="47">
        <f>CU8-2</f>
        <v>43574</v>
      </c>
    </row>
    <row r="8" spans="2:99" x14ac:dyDescent="0.35">
      <c r="B8" s="7" t="s">
        <v>87</v>
      </c>
      <c r="BT8" s="7" t="str">
        <f>B8</f>
        <v>Pessoa A</v>
      </c>
      <c r="BU8" s="36">
        <f ca="1">COUNTIF(INDIRECT(_xlfn.CONCAT("B",$CD8,":BL",$CD8)),BU$7)+COUNTIF(INDIRECT(_xlfn.CONCAT("B",$CE8,":BL",$CE8)),BU$7)
+COUNTIF(INDIRECT(_xlfn.CONCAT("B",$CF8,":BL",$CF8)),BU$7)+COUNTIF(INDIRECT(_xlfn.CONCAT("B",$CG8,":BL",$CG8)),BU$7)
+COUNTIF(INDIRECT(_xlfn.CONCAT("B",$CH8,":BL",$CH8)),BU$7)+COUNTIF(INDIRECT(_xlfn.CONCAT("B",$CI8,":BL",$CI8)),BU$7)</f>
        <v>4</v>
      </c>
      <c r="BV8" s="36">
        <f t="shared" ref="BV8:BY17" ca="1" si="6">COUNTIF(INDIRECT(_xlfn.CONCAT("B",$CD8,":BL",$CD8)),BV$7)+COUNTIF(INDIRECT(_xlfn.CONCAT("B",$CE8,":BL",$CE8)),BV$7)
+COUNTIF(INDIRECT(_xlfn.CONCAT("B",$CF8,":BL",$CF8)),BV$7)+COUNTIF(INDIRECT(_xlfn.CONCAT("B",$CG8,":BL",$CG8)),BV$7)
+COUNTIF(INDIRECT(_xlfn.CONCAT("B",$CH8,":BL",$CH8)),BV$7)+COUNTIF(INDIRECT(_xlfn.CONCAT("B",$CI8,":BL",$CI8)),BV$7)</f>
        <v>0</v>
      </c>
      <c r="BW8" s="36">
        <f t="shared" ca="1" si="6"/>
        <v>0</v>
      </c>
      <c r="BX8" s="36">
        <f t="shared" ca="1" si="6"/>
        <v>0</v>
      </c>
      <c r="BY8" s="36">
        <f t="shared" ca="1" si="6"/>
        <v>0</v>
      </c>
      <c r="BZ8" s="39"/>
      <c r="CA8" s="39"/>
      <c r="CB8" s="40" t="str">
        <f t="shared" ref="CB8:CB15" si="7">_xlfn.CONCAT("B",CD8,":BL",CD8)</f>
        <v>B8:BL8</v>
      </c>
      <c r="CC8" s="40"/>
      <c r="CD8" s="40">
        <f>MATCH(BT8,$B$8:B12,0)+7</f>
        <v>8</v>
      </c>
      <c r="CE8" s="40">
        <f>CD8+1*7+$BT$6</f>
        <v>25</v>
      </c>
      <c r="CF8" s="40">
        <f t="shared" ref="CF8:CI8" si="8">CE8+1*7+$BT$6</f>
        <v>42</v>
      </c>
      <c r="CG8" s="40">
        <f t="shared" si="8"/>
        <v>59</v>
      </c>
      <c r="CH8" s="40">
        <f t="shared" si="8"/>
        <v>76</v>
      </c>
      <c r="CI8" s="40">
        <f t="shared" si="8"/>
        <v>93</v>
      </c>
      <c r="CJ8" s="39"/>
      <c r="CK8" s="39" t="s">
        <v>48</v>
      </c>
      <c r="CL8" s="31" t="str">
        <f t="shared" si="0"/>
        <v>C$75</v>
      </c>
      <c r="CM8">
        <f t="shared" si="4"/>
        <v>75</v>
      </c>
      <c r="CN8" s="39" t="s">
        <v>49</v>
      </c>
      <c r="CO8" s="39" t="str">
        <f t="shared" si="1"/>
        <v>AH$75</v>
      </c>
      <c r="CP8">
        <f t="shared" si="5"/>
        <v>75</v>
      </c>
      <c r="CT8" s="46" t="s">
        <v>70</v>
      </c>
      <c r="CU8" s="47">
        <f>FLOOR(DAY(MINUTE(AnoDoCalendário/38)/2+56)&amp;"/5/"&amp;AnoDoCalendário,7)-34</f>
        <v>43576</v>
      </c>
    </row>
    <row r="9" spans="2:99" x14ac:dyDescent="0.35">
      <c r="B9" s="7" t="s">
        <v>54</v>
      </c>
      <c r="AA9" s="19"/>
      <c r="BT9" s="7" t="str">
        <f t="shared" ref="BT9:BT16" si="9">B9</f>
        <v>Pessoa B</v>
      </c>
      <c r="BU9" s="36">
        <f t="shared" ref="BU9:BU15" ca="1" si="10">COUNTIF(INDIRECT(_xlfn.CONCAT("B",$CD9,":BL",$CD9)),BU$7)+COUNTIF(INDIRECT(_xlfn.CONCAT("B",$CE9,":BL",$CE9)),BU$7)
+COUNTIF(INDIRECT(_xlfn.CONCAT("B",$CF9,":BL",$CF9)),BU$7)+COUNTIF(INDIRECT(_xlfn.CONCAT("B",$CG9,":BL",$CG9)),BU$7)
+COUNTIF(INDIRECT(_xlfn.CONCAT("B",$CH9,":BL",$CH9)),BU$7)+COUNTIF(INDIRECT(_xlfn.CONCAT("B",$CI9,":BL",$CI9)),BU$7)</f>
        <v>0</v>
      </c>
      <c r="BV9" s="36">
        <f t="shared" ca="1" si="6"/>
        <v>0</v>
      </c>
      <c r="BW9" s="36">
        <f t="shared" ca="1" si="6"/>
        <v>0</v>
      </c>
      <c r="BX9" s="36">
        <f t="shared" ca="1" si="6"/>
        <v>0</v>
      </c>
      <c r="BY9" s="36">
        <f t="shared" ca="1" si="6"/>
        <v>0</v>
      </c>
      <c r="BZ9" s="39"/>
      <c r="CA9" s="39"/>
      <c r="CB9" s="40" t="str">
        <f t="shared" si="7"/>
        <v>B9:BL9</v>
      </c>
      <c r="CC9" s="40"/>
      <c r="CD9" s="40">
        <f>MATCH(BT9,$B$8:B12,0)+7</f>
        <v>9</v>
      </c>
      <c r="CE9" s="40">
        <f t="shared" ref="CE9:CI16" si="11">CD9+1*7+$BT$6</f>
        <v>26</v>
      </c>
      <c r="CF9" s="40">
        <f t="shared" si="11"/>
        <v>43</v>
      </c>
      <c r="CG9" s="40">
        <f t="shared" si="11"/>
        <v>60</v>
      </c>
      <c r="CH9" s="40">
        <f t="shared" si="11"/>
        <v>77</v>
      </c>
      <c r="CI9" s="40">
        <f t="shared" si="11"/>
        <v>94</v>
      </c>
      <c r="CJ9" s="39"/>
      <c r="CK9" s="39" t="s">
        <v>50</v>
      </c>
      <c r="CL9" s="31" t="str">
        <f t="shared" si="0"/>
        <v>C$92</v>
      </c>
      <c r="CM9">
        <f t="shared" si="4"/>
        <v>92</v>
      </c>
      <c r="CN9" s="39" t="s">
        <v>51</v>
      </c>
      <c r="CO9" s="39" t="str">
        <f t="shared" si="1"/>
        <v>AH$92</v>
      </c>
      <c r="CP9">
        <f t="shared" si="5"/>
        <v>92</v>
      </c>
      <c r="CT9" s="46" t="s">
        <v>77</v>
      </c>
      <c r="CU9" s="47">
        <f>DATE(AnoDoCalendário,4,25)</f>
        <v>43580</v>
      </c>
    </row>
    <row r="10" spans="2:99" x14ac:dyDescent="0.35">
      <c r="B10" s="7" t="s">
        <v>55</v>
      </c>
      <c r="BT10" s="7" t="str">
        <f t="shared" si="9"/>
        <v>Pessoa C</v>
      </c>
      <c r="BU10" s="36">
        <f t="shared" ca="1" si="10"/>
        <v>0</v>
      </c>
      <c r="BV10" s="36">
        <f t="shared" ca="1" si="6"/>
        <v>0</v>
      </c>
      <c r="BW10" s="36">
        <f t="shared" ca="1" si="6"/>
        <v>0</v>
      </c>
      <c r="BX10" s="36">
        <f t="shared" ca="1" si="6"/>
        <v>0</v>
      </c>
      <c r="BY10" s="36">
        <f t="shared" ca="1" si="6"/>
        <v>0</v>
      </c>
      <c r="BZ10" s="39"/>
      <c r="CA10" s="39"/>
      <c r="CB10" s="40" t="str">
        <f t="shared" si="7"/>
        <v>B10:BL10</v>
      </c>
      <c r="CC10" s="40"/>
      <c r="CD10" s="40">
        <f>MATCH(BT10,$B$8:B13,0)+7</f>
        <v>10</v>
      </c>
      <c r="CE10" s="40">
        <f t="shared" si="11"/>
        <v>27</v>
      </c>
      <c r="CF10" s="40">
        <f t="shared" si="11"/>
        <v>44</v>
      </c>
      <c r="CG10" s="40">
        <f t="shared" si="11"/>
        <v>61</v>
      </c>
      <c r="CH10" s="40">
        <f t="shared" si="11"/>
        <v>78</v>
      </c>
      <c r="CI10" s="40">
        <f t="shared" si="11"/>
        <v>95</v>
      </c>
      <c r="CJ10" s="39"/>
      <c r="CL10" s="39"/>
      <c r="CT10" s="46" t="s">
        <v>78</v>
      </c>
      <c r="CU10" s="47">
        <f>DATE(AnoDoCalendário,5,1)</f>
        <v>43586</v>
      </c>
    </row>
    <row r="11" spans="2:99" x14ac:dyDescent="0.35">
      <c r="B11" s="7" t="s">
        <v>56</v>
      </c>
      <c r="BT11" s="7" t="str">
        <f t="shared" si="9"/>
        <v>Pessoa D</v>
      </c>
      <c r="BU11" s="36">
        <f t="shared" ca="1" si="10"/>
        <v>0</v>
      </c>
      <c r="BV11" s="36">
        <f t="shared" ca="1" si="6"/>
        <v>0</v>
      </c>
      <c r="BW11" s="36">
        <v>0</v>
      </c>
      <c r="BX11" s="36">
        <f t="shared" ca="1" si="6"/>
        <v>0</v>
      </c>
      <c r="BY11" s="36">
        <f t="shared" ca="1" si="6"/>
        <v>0</v>
      </c>
      <c r="BZ11" s="39"/>
      <c r="CA11" s="39"/>
      <c r="CB11" s="40" t="str">
        <f t="shared" si="7"/>
        <v>B11:BL11</v>
      </c>
      <c r="CC11" s="40"/>
      <c r="CD11" s="40">
        <f>MATCH(BT11,$B$8:B23,0)+7</f>
        <v>11</v>
      </c>
      <c r="CE11" s="40">
        <f t="shared" si="11"/>
        <v>28</v>
      </c>
      <c r="CF11" s="40">
        <f t="shared" si="11"/>
        <v>45</v>
      </c>
      <c r="CG11" s="40">
        <f t="shared" si="11"/>
        <v>62</v>
      </c>
      <c r="CH11" s="40">
        <f t="shared" si="11"/>
        <v>79</v>
      </c>
      <c r="CI11" s="40">
        <f t="shared" si="11"/>
        <v>96</v>
      </c>
      <c r="CJ11" s="39"/>
      <c r="CL11" s="39"/>
      <c r="CT11" s="46" t="s">
        <v>79</v>
      </c>
      <c r="CU11" s="47">
        <f>DATE(AnoDoCalendário,6,10)</f>
        <v>43626</v>
      </c>
    </row>
    <row r="12" spans="2:99" x14ac:dyDescent="0.35">
      <c r="B12" s="7" t="s">
        <v>58</v>
      </c>
      <c r="BT12" s="7" t="str">
        <f t="shared" si="9"/>
        <v>Pessoa E</v>
      </c>
      <c r="BU12" s="36">
        <f t="shared" ca="1" si="10"/>
        <v>0</v>
      </c>
      <c r="BV12" s="36">
        <f t="shared" ca="1" si="6"/>
        <v>0</v>
      </c>
      <c r="BW12" s="36">
        <f t="shared" ca="1" si="6"/>
        <v>0</v>
      </c>
      <c r="BX12" s="36">
        <f t="shared" ca="1" si="6"/>
        <v>0</v>
      </c>
      <c r="BY12" s="36">
        <f t="shared" ca="1" si="6"/>
        <v>0</v>
      </c>
      <c r="BZ12" s="39"/>
      <c r="CA12" s="39"/>
      <c r="CB12" s="40" t="str">
        <f t="shared" si="7"/>
        <v>B12:BL12</v>
      </c>
      <c r="CC12" s="40"/>
      <c r="CD12" s="40">
        <f>MATCH(BT12,$B$8:B23,0)+7</f>
        <v>12</v>
      </c>
      <c r="CE12" s="40">
        <f t="shared" si="11"/>
        <v>29</v>
      </c>
      <c r="CF12" s="40">
        <f t="shared" si="11"/>
        <v>46</v>
      </c>
      <c r="CG12" s="40">
        <f t="shared" si="11"/>
        <v>63</v>
      </c>
      <c r="CH12" s="40">
        <f t="shared" si="11"/>
        <v>80</v>
      </c>
      <c r="CI12" s="40">
        <f t="shared" si="11"/>
        <v>97</v>
      </c>
      <c r="CJ12" s="39"/>
      <c r="CL12" s="39"/>
      <c r="CT12" s="46" t="s">
        <v>80</v>
      </c>
      <c r="CU12" s="47">
        <f>DATE(AnoDoCalendário,8,15)</f>
        <v>43692</v>
      </c>
    </row>
    <row r="13" spans="2:99" x14ac:dyDescent="0.35">
      <c r="B13" s="7" t="s">
        <v>59</v>
      </c>
      <c r="BT13" s="7" t="str">
        <f t="shared" si="9"/>
        <v>Pessoa F</v>
      </c>
      <c r="BU13" s="36">
        <f t="shared" ca="1" si="10"/>
        <v>0</v>
      </c>
      <c r="BV13" s="36">
        <f t="shared" ca="1" si="6"/>
        <v>0</v>
      </c>
      <c r="BW13" s="36">
        <f t="shared" ca="1" si="6"/>
        <v>0</v>
      </c>
      <c r="BX13" s="36">
        <f t="shared" ca="1" si="6"/>
        <v>0</v>
      </c>
      <c r="BY13" s="36">
        <f t="shared" ca="1" si="6"/>
        <v>0</v>
      </c>
      <c r="BZ13" s="39"/>
      <c r="CA13" s="39"/>
      <c r="CB13" s="40" t="str">
        <f t="shared" si="7"/>
        <v>B13:BL13</v>
      </c>
      <c r="CC13" s="40"/>
      <c r="CD13" s="40">
        <f>MATCH(BT13,$B$8:B19,0)+7</f>
        <v>13</v>
      </c>
      <c r="CE13" s="40">
        <f t="shared" si="11"/>
        <v>30</v>
      </c>
      <c r="CF13" s="40">
        <f t="shared" si="11"/>
        <v>47</v>
      </c>
      <c r="CG13" s="40">
        <f t="shared" si="11"/>
        <v>64</v>
      </c>
      <c r="CH13" s="40">
        <f t="shared" si="11"/>
        <v>81</v>
      </c>
      <c r="CI13" s="40">
        <f t="shared" si="11"/>
        <v>98</v>
      </c>
      <c r="CJ13" s="39"/>
      <c r="CL13" s="39"/>
      <c r="CT13" s="46" t="s">
        <v>75</v>
      </c>
      <c r="CU13" s="47">
        <f>DATE(AnoDoCalendário,11,1)</f>
        <v>43770</v>
      </c>
    </row>
    <row r="14" spans="2:99" x14ac:dyDescent="0.35">
      <c r="B14" s="7" t="s">
        <v>60</v>
      </c>
      <c r="BT14" s="7" t="str">
        <f t="shared" si="9"/>
        <v>Pessoa G</v>
      </c>
      <c r="BU14" s="36">
        <f t="shared" ca="1" si="10"/>
        <v>0</v>
      </c>
      <c r="BV14" s="36">
        <f t="shared" ca="1" si="6"/>
        <v>0</v>
      </c>
      <c r="BW14" s="36">
        <f t="shared" ca="1" si="6"/>
        <v>0</v>
      </c>
      <c r="BX14" s="36">
        <f t="shared" ca="1" si="6"/>
        <v>0</v>
      </c>
      <c r="BY14" s="36">
        <f t="shared" ca="1" si="6"/>
        <v>0</v>
      </c>
      <c r="BZ14" s="39"/>
      <c r="CA14" s="39"/>
      <c r="CB14" s="40" t="str">
        <f t="shared" si="7"/>
        <v>B14:BL14</v>
      </c>
      <c r="CC14" s="40"/>
      <c r="CD14" s="40">
        <f>MATCH(BT14,$B$8:B19,0)+7</f>
        <v>14</v>
      </c>
      <c r="CE14" s="40">
        <f t="shared" si="11"/>
        <v>31</v>
      </c>
      <c r="CF14" s="40">
        <f t="shared" si="11"/>
        <v>48</v>
      </c>
      <c r="CG14" s="40">
        <f t="shared" si="11"/>
        <v>65</v>
      </c>
      <c r="CH14" s="40">
        <f t="shared" si="11"/>
        <v>82</v>
      </c>
      <c r="CI14" s="40">
        <f t="shared" si="11"/>
        <v>99</v>
      </c>
      <c r="CJ14" s="39"/>
      <c r="CL14" s="39"/>
      <c r="CT14" s="46" t="s">
        <v>74</v>
      </c>
      <c r="CU14" s="47">
        <f>DATE(AnoDoCalendário,10,5)</f>
        <v>43743</v>
      </c>
    </row>
    <row r="15" spans="2:99" x14ac:dyDescent="0.35">
      <c r="B15" s="7" t="s">
        <v>61</v>
      </c>
      <c r="BT15" s="7" t="str">
        <f t="shared" si="9"/>
        <v>Pessoa H</v>
      </c>
      <c r="BU15" s="36">
        <f t="shared" ca="1" si="10"/>
        <v>0</v>
      </c>
      <c r="BV15" s="36">
        <f t="shared" ca="1" si="6"/>
        <v>0</v>
      </c>
      <c r="BW15" s="36">
        <f t="shared" ca="1" si="6"/>
        <v>0</v>
      </c>
      <c r="BX15" s="36">
        <f t="shared" ca="1" si="6"/>
        <v>0</v>
      </c>
      <c r="BY15" s="36">
        <f t="shared" ca="1" si="6"/>
        <v>0</v>
      </c>
      <c r="BZ15" s="39"/>
      <c r="CA15" s="39"/>
      <c r="CB15" s="40" t="str">
        <f t="shared" si="7"/>
        <v>B15:BL15</v>
      </c>
      <c r="CC15" s="40"/>
      <c r="CD15" s="40">
        <f>MATCH(BT15,$B$8:B20,0)+7</f>
        <v>15</v>
      </c>
      <c r="CE15" s="40">
        <f t="shared" si="11"/>
        <v>32</v>
      </c>
      <c r="CF15" s="40">
        <f t="shared" si="11"/>
        <v>49</v>
      </c>
      <c r="CG15" s="40">
        <f t="shared" si="11"/>
        <v>66</v>
      </c>
      <c r="CH15" s="40">
        <f t="shared" si="11"/>
        <v>83</v>
      </c>
      <c r="CI15" s="40">
        <f t="shared" si="11"/>
        <v>100</v>
      </c>
      <c r="CJ15" s="39"/>
      <c r="CL15" s="39"/>
      <c r="CT15" s="46" t="s">
        <v>76</v>
      </c>
      <c r="CU15" s="47">
        <f>DATE(AnoDoCalendário,12,1)</f>
        <v>43800</v>
      </c>
    </row>
    <row r="16" spans="2:99" x14ac:dyDescent="0.35">
      <c r="B16" s="7" t="s">
        <v>64</v>
      </c>
      <c r="BT16" s="7" t="str">
        <f t="shared" si="9"/>
        <v>Pessoa I</v>
      </c>
      <c r="BU16" s="36">
        <f ca="1">COUNTIF(INDIRECT(_xlfn.CONCAT("B",$CD16,":BL",$CD16)),BU$7)+COUNTIF(INDIRECT(_xlfn.CONCAT("B",$CE16,":BL",$CE16)),BU$7)
+COUNTIF(INDIRECT(_xlfn.CONCAT("B",$CF16,":BL",$CF16)),BU$7)+COUNTIF(INDIRECT(_xlfn.CONCAT("B",$CG16,":BL",$CG16)),BU$7)
+COUNTIF(INDIRECT(_xlfn.CONCAT("B",$CH16,":BL",$CH16)),BU$7)+COUNTIF(INDIRECT(_xlfn.CONCAT("B",$CI16,":BL",$CI16)),BU$7)</f>
        <v>0</v>
      </c>
      <c r="BV16" s="36">
        <f ca="1">COUNTIF(INDIRECT(_xlfn.CONCAT("B",$CD16,":BL",$CD16)),BV$7)+COUNTIF(INDIRECT(_xlfn.CONCAT("B",$CE16,":BL",$CE16)),BV$7)
+COUNTIF(INDIRECT(_xlfn.CONCAT("B",$CF16,":BL",$CF16)),BV$7)+COUNTIF(INDIRECT(_xlfn.CONCAT("B",$CG16,":BL",$CG16)),BV$7)
+COUNTIF(INDIRECT(_xlfn.CONCAT("B",$CH16,":BL",$CH16)),BV$7)+COUNTIF(INDIRECT(_xlfn.CONCAT("B",$CI16,":BL",$CI16)),BV$7)</f>
        <v>0</v>
      </c>
      <c r="BW16" s="36">
        <f t="shared" ca="1" si="6"/>
        <v>0</v>
      </c>
      <c r="BX16" s="36">
        <f t="shared" ca="1" si="6"/>
        <v>0</v>
      </c>
      <c r="BY16" s="36">
        <f t="shared" ca="1" si="6"/>
        <v>0</v>
      </c>
      <c r="BZ16" s="39"/>
      <c r="CA16" s="39"/>
      <c r="CB16" s="40" t="str">
        <f t="shared" ref="CB16" si="12">_xlfn.CONCAT("B",CD16,":BL",CD16)</f>
        <v>B16:BL16</v>
      </c>
      <c r="CC16" s="40"/>
      <c r="CD16" s="40">
        <f>MATCH(BT16,$B$8:B21,0)+7</f>
        <v>16</v>
      </c>
      <c r="CE16" s="40">
        <f t="shared" ref="CE16" si="13">CD16+1*7+$BT$6</f>
        <v>33</v>
      </c>
      <c r="CF16" s="40">
        <f t="shared" ref="CF16" si="14">CE16+1*7+$BT$6</f>
        <v>50</v>
      </c>
      <c r="CG16" s="40">
        <f t="shared" ref="CG16" si="15">CF16+1*7+$BT$6</f>
        <v>67</v>
      </c>
      <c r="CH16" s="40">
        <f t="shared" ref="CH16" si="16">CG16+1*7+$BT$6</f>
        <v>84</v>
      </c>
      <c r="CI16" s="40">
        <f t="shared" si="11"/>
        <v>101</v>
      </c>
      <c r="CJ16" s="39"/>
      <c r="CK16" s="39"/>
      <c r="CL16" s="39"/>
      <c r="CT16" s="46" t="s">
        <v>81</v>
      </c>
      <c r="CU16" s="47">
        <f>DATE(AnoDoCalendário,12,8)</f>
        <v>43807</v>
      </c>
    </row>
    <row r="17" spans="2:99" x14ac:dyDescent="0.35">
      <c r="B17" s="7" t="s">
        <v>85</v>
      </c>
      <c r="BT17" s="7" t="str">
        <f>B17</f>
        <v>Pessoa J</v>
      </c>
      <c r="BU17" s="36">
        <f ca="1">COUNTIF(INDIRECT(_xlfn.CONCAT("B",$CD17,":BL",$CD17)),BU$7)+COUNTIF(INDIRECT(_xlfn.CONCAT("B",$CE17,":BL",$CE17)),BU$7)
+COUNTIF(INDIRECT(_xlfn.CONCAT("B",$CF17,":BL",$CF17)),BU$7)+COUNTIF(INDIRECT(_xlfn.CONCAT("B",$CG17,":BL",$CG17)),BU$7)
+COUNTIF(INDIRECT(_xlfn.CONCAT("B",$CH17,":BL",$CH17)),BU$7)+COUNTIF(INDIRECT(_xlfn.CONCAT("B",$CI17,":BL",$CI17)),BU$7)</f>
        <v>0</v>
      </c>
      <c r="BV17" s="36">
        <f ca="1">COUNTIF(INDIRECT(_xlfn.CONCAT("B",$CD17,":BL",$CD17)),BV$7)+COUNTIF(INDIRECT(_xlfn.CONCAT("B",$CE17,":BL",$CE17)),BV$7)
+COUNTIF(INDIRECT(_xlfn.CONCAT("B",$CF17,":BL",$CF17)),BV$7)+COUNTIF(INDIRECT(_xlfn.CONCAT("B",$CG17,":BL",$CG17)),BV$7)
+COUNTIF(INDIRECT(_xlfn.CONCAT("B",$CH17,":BL",$CH17)),BV$7)+COUNTIF(INDIRECT(_xlfn.CONCAT("B",$CI17,":BL",$CI17)),BV$7)</f>
        <v>0</v>
      </c>
      <c r="BW17" s="36">
        <f t="shared" ca="1" si="6"/>
        <v>0</v>
      </c>
      <c r="BX17" s="36">
        <f t="shared" ca="1" si="6"/>
        <v>0</v>
      </c>
      <c r="BY17" s="36">
        <f t="shared" ca="1" si="6"/>
        <v>0</v>
      </c>
      <c r="BZ17" s="39"/>
      <c r="CA17" s="39"/>
      <c r="CB17" s="40" t="str">
        <f t="shared" ref="CB17" si="17">_xlfn.CONCAT("B",CD17,":BL",CD17)</f>
        <v>B17:BL17</v>
      </c>
      <c r="CC17" s="40"/>
      <c r="CD17" s="40">
        <f>MATCH(BT17,$B$8:B22,0)+7</f>
        <v>17</v>
      </c>
      <c r="CE17" s="40">
        <f t="shared" ref="CE17" si="18">CD17+1*7+$BT$6</f>
        <v>34</v>
      </c>
      <c r="CF17" s="40">
        <f t="shared" ref="CF17" si="19">CE17+1*7+$BT$6</f>
        <v>51</v>
      </c>
      <c r="CG17" s="40">
        <f t="shared" ref="CG17" si="20">CF17+1*7+$BT$6</f>
        <v>68</v>
      </c>
      <c r="CH17" s="40">
        <f t="shared" ref="CH17" si="21">CG17+1*7+$BT$6</f>
        <v>85</v>
      </c>
      <c r="CI17" s="40">
        <f t="shared" ref="CI17" si="22">CH17+1*7+$BT$6</f>
        <v>102</v>
      </c>
      <c r="CJ17" s="39"/>
      <c r="CK17" s="39"/>
      <c r="CL17" s="39"/>
      <c r="CT17" s="46" t="s">
        <v>69</v>
      </c>
      <c r="CU17" s="47">
        <f>DATE(AnoDoCalendário,12,25)</f>
        <v>43824</v>
      </c>
    </row>
    <row r="18" spans="2:99" x14ac:dyDescent="0.35"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T18" s="49"/>
      <c r="CU18" s="33"/>
    </row>
    <row r="19" spans="2:99" x14ac:dyDescent="0.35">
      <c r="C19" s="45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</row>
    <row r="20" spans="2:99" x14ac:dyDescent="0.35"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</row>
    <row r="21" spans="2:99" x14ac:dyDescent="0.35">
      <c r="B21" s="28"/>
      <c r="BX21" s="33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</row>
    <row r="22" spans="2:99" ht="17.5" thickBot="1" x14ac:dyDescent="0.4">
      <c r="C22" s="51" t="s">
        <v>40</v>
      </c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 t="s">
        <v>43</v>
      </c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X22" s="45"/>
    </row>
    <row r="23" spans="2:99" ht="15" thickTop="1" x14ac:dyDescent="0.35">
      <c r="C23" s="7" t="str">
        <f>UPPER(LEFT(TEXT(WEEKDAY(DATE(AnoDoCalendário,3,C24),1),"ddd"),1))</f>
        <v>S</v>
      </c>
      <c r="D23" s="7" t="str">
        <f>UPPER(LEFT(TEXT(WEEKDAY(DATE(AnoDoCalendário,3,D24),1),"ddd"),1))</f>
        <v>S</v>
      </c>
      <c r="E23" s="7" t="str">
        <f>UPPER(LEFT(TEXT(WEEKDAY(DATE(AnoDoCalendário,3,E24),1),"ddd"),1))</f>
        <v>D</v>
      </c>
      <c r="F23" s="7" t="str">
        <f>UPPER(LEFT(TEXT(WEEKDAY(DATE(AnoDoCalendário,3,F24),1),"ddd"),1))</f>
        <v>S</v>
      </c>
      <c r="G23" s="7" t="str">
        <f t="shared" ref="G23:AG23" si="23">UPPER(LEFT(TEXT(WEEKDAY(DATE(AnoDoCalendário,3,G24),1),"ddd"),1))</f>
        <v>T</v>
      </c>
      <c r="H23" s="7" t="str">
        <f t="shared" si="23"/>
        <v>Q</v>
      </c>
      <c r="I23" s="7" t="str">
        <f t="shared" si="23"/>
        <v>Q</v>
      </c>
      <c r="J23" s="7" t="str">
        <f t="shared" si="23"/>
        <v>S</v>
      </c>
      <c r="K23" s="7" t="str">
        <f t="shared" si="23"/>
        <v>S</v>
      </c>
      <c r="L23" s="7" t="str">
        <f t="shared" si="23"/>
        <v>D</v>
      </c>
      <c r="M23" s="7" t="str">
        <f t="shared" si="23"/>
        <v>S</v>
      </c>
      <c r="N23" s="7" t="str">
        <f t="shared" si="23"/>
        <v>T</v>
      </c>
      <c r="O23" s="7" t="str">
        <f t="shared" si="23"/>
        <v>Q</v>
      </c>
      <c r="P23" s="7" t="str">
        <f t="shared" si="23"/>
        <v>Q</v>
      </c>
      <c r="Q23" s="7" t="str">
        <f t="shared" si="23"/>
        <v>S</v>
      </c>
      <c r="R23" s="7" t="str">
        <f t="shared" si="23"/>
        <v>S</v>
      </c>
      <c r="S23" s="7" t="str">
        <f t="shared" si="23"/>
        <v>D</v>
      </c>
      <c r="T23" s="7" t="str">
        <f t="shared" si="23"/>
        <v>S</v>
      </c>
      <c r="U23" s="7" t="str">
        <f t="shared" si="23"/>
        <v>T</v>
      </c>
      <c r="V23" s="7" t="str">
        <f t="shared" si="23"/>
        <v>Q</v>
      </c>
      <c r="W23" s="7" t="str">
        <f t="shared" si="23"/>
        <v>Q</v>
      </c>
      <c r="X23" s="7" t="str">
        <f t="shared" si="23"/>
        <v>S</v>
      </c>
      <c r="Y23" s="7" t="str">
        <f t="shared" si="23"/>
        <v>S</v>
      </c>
      <c r="Z23" s="7" t="str">
        <f t="shared" si="23"/>
        <v>D</v>
      </c>
      <c r="AA23" s="7" t="str">
        <f t="shared" si="23"/>
        <v>S</v>
      </c>
      <c r="AB23" s="7" t="str">
        <f t="shared" si="23"/>
        <v>T</v>
      </c>
      <c r="AC23" s="7" t="str">
        <f t="shared" si="23"/>
        <v>Q</v>
      </c>
      <c r="AD23" s="7" t="str">
        <f t="shared" si="23"/>
        <v>Q</v>
      </c>
      <c r="AE23" s="7" t="str">
        <f t="shared" si="23"/>
        <v>S</v>
      </c>
      <c r="AF23" s="7" t="str">
        <f t="shared" si="23"/>
        <v>S</v>
      </c>
      <c r="AG23" s="7" t="str">
        <f t="shared" si="23"/>
        <v>D</v>
      </c>
      <c r="AH23" s="7" t="str">
        <f t="shared" ref="AH23:BK23" si="24">UPPER(LEFT(TEXT(WEEKDAY(DATE(AnoDoCalendário,4,AH24),1),"ddd"),1))</f>
        <v>S</v>
      </c>
      <c r="AI23" s="7" t="str">
        <f t="shared" si="24"/>
        <v>T</v>
      </c>
      <c r="AJ23" s="7" t="str">
        <f t="shared" si="24"/>
        <v>Q</v>
      </c>
      <c r="AK23" s="7" t="str">
        <f t="shared" si="24"/>
        <v>Q</v>
      </c>
      <c r="AL23" s="7" t="str">
        <f t="shared" si="24"/>
        <v>S</v>
      </c>
      <c r="AM23" s="7" t="str">
        <f t="shared" si="24"/>
        <v>S</v>
      </c>
      <c r="AN23" s="7" t="str">
        <f t="shared" si="24"/>
        <v>D</v>
      </c>
      <c r="AO23" s="7" t="str">
        <f t="shared" si="24"/>
        <v>S</v>
      </c>
      <c r="AP23" s="7" t="str">
        <f t="shared" si="24"/>
        <v>T</v>
      </c>
      <c r="AQ23" s="7" t="str">
        <f t="shared" si="24"/>
        <v>Q</v>
      </c>
      <c r="AR23" s="7" t="str">
        <f t="shared" si="24"/>
        <v>Q</v>
      </c>
      <c r="AS23" s="7" t="str">
        <f t="shared" si="24"/>
        <v>S</v>
      </c>
      <c r="AT23" s="7" t="str">
        <f t="shared" si="24"/>
        <v>S</v>
      </c>
      <c r="AU23" s="7" t="str">
        <f t="shared" si="24"/>
        <v>D</v>
      </c>
      <c r="AV23" s="7" t="str">
        <f t="shared" si="24"/>
        <v>S</v>
      </c>
      <c r="AW23" s="7" t="str">
        <f t="shared" si="24"/>
        <v>T</v>
      </c>
      <c r="AX23" s="7" t="str">
        <f t="shared" si="24"/>
        <v>Q</v>
      </c>
      <c r="AY23" s="7" t="str">
        <f t="shared" si="24"/>
        <v>Q</v>
      </c>
      <c r="AZ23" s="7" t="str">
        <f t="shared" si="24"/>
        <v>S</v>
      </c>
      <c r="BA23" s="7" t="str">
        <f t="shared" si="24"/>
        <v>S</v>
      </c>
      <c r="BB23" s="7" t="str">
        <f t="shared" si="24"/>
        <v>D</v>
      </c>
      <c r="BC23" s="7" t="str">
        <f t="shared" si="24"/>
        <v>S</v>
      </c>
      <c r="BD23" s="7" t="str">
        <f t="shared" si="24"/>
        <v>T</v>
      </c>
      <c r="BE23" s="7" t="str">
        <f t="shared" si="24"/>
        <v>Q</v>
      </c>
      <c r="BF23" s="7" t="str">
        <f t="shared" si="24"/>
        <v>Q</v>
      </c>
      <c r="BG23" s="7" t="str">
        <f t="shared" si="24"/>
        <v>S</v>
      </c>
      <c r="BH23" s="7" t="str">
        <f t="shared" si="24"/>
        <v>S</v>
      </c>
      <c r="BI23" s="7" t="str">
        <f t="shared" si="24"/>
        <v>D</v>
      </c>
      <c r="BJ23" s="7" t="str">
        <f t="shared" si="24"/>
        <v>S</v>
      </c>
      <c r="BK23" s="7" t="str">
        <f t="shared" si="24"/>
        <v>T</v>
      </c>
      <c r="BL23" s="7"/>
    </row>
    <row r="24" spans="2:99" x14ac:dyDescent="0.35">
      <c r="B24" s="29" t="s">
        <v>1</v>
      </c>
      <c r="C24" s="10" t="s">
        <v>2</v>
      </c>
      <c r="D24" s="8" t="s">
        <v>3</v>
      </c>
      <c r="E24" s="8" t="s">
        <v>4</v>
      </c>
      <c r="F24" s="8" t="s">
        <v>5</v>
      </c>
      <c r="G24" s="8" t="s">
        <v>6</v>
      </c>
      <c r="H24" s="8" t="s">
        <v>7</v>
      </c>
      <c r="I24" s="8" t="s">
        <v>8</v>
      </c>
      <c r="J24" s="8" t="s">
        <v>9</v>
      </c>
      <c r="K24" s="8" t="s">
        <v>10</v>
      </c>
      <c r="L24" s="8" t="s">
        <v>11</v>
      </c>
      <c r="M24" s="8" t="s">
        <v>12</v>
      </c>
      <c r="N24" s="8" t="s">
        <v>13</v>
      </c>
      <c r="O24" s="8" t="s">
        <v>14</v>
      </c>
      <c r="P24" s="8" t="s">
        <v>15</v>
      </c>
      <c r="Q24" s="8" t="s">
        <v>16</v>
      </c>
      <c r="R24" s="8" t="s">
        <v>17</v>
      </c>
      <c r="S24" s="8" t="s">
        <v>18</v>
      </c>
      <c r="T24" s="8" t="s">
        <v>19</v>
      </c>
      <c r="U24" s="8" t="s">
        <v>20</v>
      </c>
      <c r="V24" s="8" t="s">
        <v>21</v>
      </c>
      <c r="W24" s="8" t="s">
        <v>22</v>
      </c>
      <c r="X24" s="8" t="s">
        <v>23</v>
      </c>
      <c r="Y24" s="8" t="s">
        <v>24</v>
      </c>
      <c r="Z24" s="8" t="s">
        <v>25</v>
      </c>
      <c r="AA24" s="8" t="s">
        <v>26</v>
      </c>
      <c r="AB24" s="8" t="s">
        <v>27</v>
      </c>
      <c r="AC24" s="8" t="s">
        <v>28</v>
      </c>
      <c r="AD24" s="8" t="s">
        <v>29</v>
      </c>
      <c r="AE24" s="8" t="s">
        <v>30</v>
      </c>
      <c r="AF24" s="8" t="s">
        <v>31</v>
      </c>
      <c r="AG24" s="8" t="s">
        <v>32</v>
      </c>
      <c r="AH24" s="13" t="s">
        <v>2</v>
      </c>
      <c r="AI24" s="8" t="s">
        <v>3</v>
      </c>
      <c r="AJ24" s="8" t="s">
        <v>4</v>
      </c>
      <c r="AK24" s="8" t="s">
        <v>5</v>
      </c>
      <c r="AL24" s="8" t="s">
        <v>6</v>
      </c>
      <c r="AM24" s="8" t="s">
        <v>7</v>
      </c>
      <c r="AN24" s="8" t="s">
        <v>8</v>
      </c>
      <c r="AO24" s="8" t="s">
        <v>9</v>
      </c>
      <c r="AP24" s="8" t="s">
        <v>10</v>
      </c>
      <c r="AQ24" s="8" t="s">
        <v>11</v>
      </c>
      <c r="AR24" s="8" t="s">
        <v>12</v>
      </c>
      <c r="AS24" s="8" t="s">
        <v>13</v>
      </c>
      <c r="AT24" s="8" t="s">
        <v>14</v>
      </c>
      <c r="AU24" s="8" t="s">
        <v>15</v>
      </c>
      <c r="AV24" s="8" t="s">
        <v>16</v>
      </c>
      <c r="AW24" s="8" t="s">
        <v>17</v>
      </c>
      <c r="AX24" s="8" t="s">
        <v>18</v>
      </c>
      <c r="AY24" s="8" t="s">
        <v>19</v>
      </c>
      <c r="AZ24" s="8" t="s">
        <v>20</v>
      </c>
      <c r="BA24" s="8" t="s">
        <v>21</v>
      </c>
      <c r="BB24" s="8" t="s">
        <v>22</v>
      </c>
      <c r="BC24" s="8" t="s">
        <v>23</v>
      </c>
      <c r="BD24" s="8" t="s">
        <v>24</v>
      </c>
      <c r="BE24" s="8" t="s">
        <v>25</v>
      </c>
      <c r="BF24" s="8" t="s">
        <v>26</v>
      </c>
      <c r="BG24" s="8" t="s">
        <v>27</v>
      </c>
      <c r="BH24" s="8" t="s">
        <v>28</v>
      </c>
      <c r="BI24" s="8" t="s">
        <v>29</v>
      </c>
      <c r="BJ24" s="8" t="s">
        <v>30</v>
      </c>
      <c r="BK24" s="8" t="s">
        <v>31</v>
      </c>
      <c r="BL24" s="35" t="s">
        <v>32</v>
      </c>
      <c r="BY24" s="44"/>
    </row>
    <row r="25" spans="2:99" x14ac:dyDescent="0.35">
      <c r="B25" s="7" t="str">
        <f t="shared" ref="B25:B34" si="25">B8</f>
        <v>Pessoa A</v>
      </c>
      <c r="AH25" s="14"/>
      <c r="BV25" s="45"/>
    </row>
    <row r="26" spans="2:99" x14ac:dyDescent="0.35">
      <c r="B26" s="7" t="str">
        <f t="shared" si="25"/>
        <v>Pessoa B</v>
      </c>
      <c r="AH26" s="15"/>
    </row>
    <row r="27" spans="2:99" x14ac:dyDescent="0.35">
      <c r="B27" s="7" t="str">
        <f t="shared" si="25"/>
        <v>Pessoa C</v>
      </c>
      <c r="AH27" s="14"/>
    </row>
    <row r="28" spans="2:99" x14ac:dyDescent="0.35">
      <c r="B28" s="7" t="str">
        <f t="shared" si="25"/>
        <v>Pessoa D</v>
      </c>
      <c r="AH28" s="14"/>
    </row>
    <row r="29" spans="2:99" x14ac:dyDescent="0.35">
      <c r="B29" s="7" t="str">
        <f t="shared" si="25"/>
        <v>Pessoa E</v>
      </c>
      <c r="AH29" s="16"/>
    </row>
    <row r="30" spans="2:99" x14ac:dyDescent="0.35">
      <c r="B30" s="7" t="str">
        <f t="shared" si="25"/>
        <v>Pessoa F</v>
      </c>
    </row>
    <row r="31" spans="2:99" x14ac:dyDescent="0.35">
      <c r="B31" s="7" t="str">
        <f t="shared" si="25"/>
        <v>Pessoa G</v>
      </c>
    </row>
    <row r="32" spans="2:99" x14ac:dyDescent="0.35">
      <c r="B32" s="7" t="str">
        <f t="shared" si="25"/>
        <v>Pessoa H</v>
      </c>
    </row>
    <row r="33" spans="2:64" x14ac:dyDescent="0.35">
      <c r="B33" s="7" t="str">
        <f t="shared" si="25"/>
        <v>Pessoa I</v>
      </c>
    </row>
    <row r="34" spans="2:64" x14ac:dyDescent="0.35">
      <c r="B34" s="7" t="str">
        <f t="shared" si="25"/>
        <v>Pessoa J</v>
      </c>
    </row>
    <row r="39" spans="2:64" ht="17.5" thickBot="1" x14ac:dyDescent="0.4">
      <c r="C39" s="51" t="s">
        <v>44</v>
      </c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 t="s">
        <v>45</v>
      </c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  <c r="BA39" s="51"/>
      <c r="BB39" s="51"/>
      <c r="BC39" s="51"/>
      <c r="BD39" s="51"/>
      <c r="BE39" s="51"/>
      <c r="BF39" s="51"/>
      <c r="BG39" s="51"/>
      <c r="BH39" s="51"/>
      <c r="BI39" s="51"/>
      <c r="BJ39" s="51"/>
      <c r="BK39" s="51"/>
      <c r="BL39" s="51"/>
    </row>
    <row r="40" spans="2:64" ht="15" thickTop="1" x14ac:dyDescent="0.35">
      <c r="C40" s="7" t="str">
        <f t="shared" ref="C40:AF40" si="26">UPPER(LEFT(TEXT(WEEKDAY(DATE(AnoDoCalendário,5,C41),1),"ddd"),1))</f>
        <v>Q</v>
      </c>
      <c r="D40" s="7" t="str">
        <f t="shared" si="26"/>
        <v>Q</v>
      </c>
      <c r="E40" s="7" t="str">
        <f t="shared" si="26"/>
        <v>S</v>
      </c>
      <c r="F40" s="7" t="str">
        <f t="shared" si="26"/>
        <v>S</v>
      </c>
      <c r="G40" s="7" t="str">
        <f t="shared" si="26"/>
        <v>D</v>
      </c>
      <c r="H40" s="7" t="str">
        <f t="shared" si="26"/>
        <v>S</v>
      </c>
      <c r="I40" s="7" t="str">
        <f t="shared" si="26"/>
        <v>T</v>
      </c>
      <c r="J40" s="7" t="str">
        <f t="shared" si="26"/>
        <v>Q</v>
      </c>
      <c r="K40" s="7" t="str">
        <f t="shared" si="26"/>
        <v>Q</v>
      </c>
      <c r="L40" s="7" t="str">
        <f t="shared" si="26"/>
        <v>S</v>
      </c>
      <c r="M40" s="7" t="str">
        <f t="shared" si="26"/>
        <v>S</v>
      </c>
      <c r="N40" s="7" t="str">
        <f t="shared" si="26"/>
        <v>D</v>
      </c>
      <c r="O40" s="7" t="str">
        <f t="shared" si="26"/>
        <v>S</v>
      </c>
      <c r="P40" s="7" t="str">
        <f t="shared" si="26"/>
        <v>T</v>
      </c>
      <c r="Q40" s="7" t="str">
        <f t="shared" si="26"/>
        <v>Q</v>
      </c>
      <c r="R40" s="7" t="str">
        <f t="shared" si="26"/>
        <v>Q</v>
      </c>
      <c r="S40" s="7" t="str">
        <f t="shared" si="26"/>
        <v>S</v>
      </c>
      <c r="T40" s="7" t="str">
        <f t="shared" si="26"/>
        <v>S</v>
      </c>
      <c r="U40" s="7" t="str">
        <f t="shared" si="26"/>
        <v>D</v>
      </c>
      <c r="V40" s="7" t="str">
        <f t="shared" si="26"/>
        <v>S</v>
      </c>
      <c r="W40" s="7" t="str">
        <f t="shared" si="26"/>
        <v>T</v>
      </c>
      <c r="X40" s="7" t="str">
        <f t="shared" si="26"/>
        <v>Q</v>
      </c>
      <c r="Y40" s="7" t="str">
        <f t="shared" si="26"/>
        <v>Q</v>
      </c>
      <c r="Z40" s="7" t="str">
        <f t="shared" si="26"/>
        <v>S</v>
      </c>
      <c r="AA40" s="7" t="str">
        <f t="shared" si="26"/>
        <v>S</v>
      </c>
      <c r="AB40" s="7" t="str">
        <f t="shared" si="26"/>
        <v>D</v>
      </c>
      <c r="AC40" s="7" t="str">
        <f t="shared" si="26"/>
        <v>S</v>
      </c>
      <c r="AD40" s="7" t="str">
        <f t="shared" si="26"/>
        <v>T</v>
      </c>
      <c r="AE40" s="7" t="str">
        <f t="shared" si="26"/>
        <v>Q</v>
      </c>
      <c r="AF40" s="7" t="str">
        <f t="shared" si="26"/>
        <v>Q</v>
      </c>
      <c r="AG40" s="7"/>
      <c r="AH40" s="12" t="str">
        <f t="shared" ref="AH40:BK40" si="27">UPPER(LEFT(TEXT(WEEKDAY(DATE(AnoDoCalendário,6,AH41),1),"ddd"),1))</f>
        <v>S</v>
      </c>
      <c r="AI40" s="7" t="str">
        <f t="shared" si="27"/>
        <v>D</v>
      </c>
      <c r="AJ40" s="7" t="str">
        <f t="shared" si="27"/>
        <v>S</v>
      </c>
      <c r="AK40" s="7" t="str">
        <f t="shared" si="27"/>
        <v>T</v>
      </c>
      <c r="AL40" s="7" t="str">
        <f t="shared" si="27"/>
        <v>Q</v>
      </c>
      <c r="AM40" s="7" t="str">
        <f t="shared" si="27"/>
        <v>Q</v>
      </c>
      <c r="AN40" s="7" t="str">
        <f t="shared" si="27"/>
        <v>S</v>
      </c>
      <c r="AO40" s="7" t="str">
        <f t="shared" si="27"/>
        <v>S</v>
      </c>
      <c r="AP40" s="7" t="str">
        <f t="shared" si="27"/>
        <v>D</v>
      </c>
      <c r="AQ40" s="7" t="str">
        <f t="shared" si="27"/>
        <v>S</v>
      </c>
      <c r="AR40" s="7" t="str">
        <f t="shared" si="27"/>
        <v>T</v>
      </c>
      <c r="AS40" s="7" t="str">
        <f t="shared" si="27"/>
        <v>Q</v>
      </c>
      <c r="AT40" s="7" t="str">
        <f t="shared" si="27"/>
        <v>Q</v>
      </c>
      <c r="AU40" s="7" t="str">
        <f t="shared" si="27"/>
        <v>S</v>
      </c>
      <c r="AV40" s="7" t="str">
        <f t="shared" si="27"/>
        <v>S</v>
      </c>
      <c r="AW40" s="7" t="str">
        <f t="shared" si="27"/>
        <v>D</v>
      </c>
      <c r="AX40" s="7" t="str">
        <f t="shared" si="27"/>
        <v>S</v>
      </c>
      <c r="AY40" s="7" t="str">
        <f t="shared" si="27"/>
        <v>T</v>
      </c>
      <c r="AZ40" s="7" t="str">
        <f t="shared" si="27"/>
        <v>Q</v>
      </c>
      <c r="BA40" s="7" t="str">
        <f t="shared" si="27"/>
        <v>Q</v>
      </c>
      <c r="BB40" s="7" t="str">
        <f t="shared" si="27"/>
        <v>S</v>
      </c>
      <c r="BC40" s="7" t="str">
        <f t="shared" si="27"/>
        <v>S</v>
      </c>
      <c r="BD40" s="7" t="str">
        <f t="shared" si="27"/>
        <v>D</v>
      </c>
      <c r="BE40" s="7" t="str">
        <f t="shared" si="27"/>
        <v>S</v>
      </c>
      <c r="BF40" s="7" t="str">
        <f t="shared" si="27"/>
        <v>T</v>
      </c>
      <c r="BG40" s="7" t="str">
        <f t="shared" si="27"/>
        <v>Q</v>
      </c>
      <c r="BH40" s="7" t="str">
        <f t="shared" si="27"/>
        <v>Q</v>
      </c>
      <c r="BI40" s="7" t="str">
        <f t="shared" si="27"/>
        <v>S</v>
      </c>
      <c r="BJ40" s="7" t="str">
        <f t="shared" si="27"/>
        <v>S</v>
      </c>
      <c r="BK40" s="7" t="str">
        <f t="shared" si="27"/>
        <v>D</v>
      </c>
      <c r="BL40" s="7"/>
    </row>
    <row r="41" spans="2:64" ht="15" thickBot="1" x14ac:dyDescent="0.4">
      <c r="B41" s="29" t="s">
        <v>1</v>
      </c>
      <c r="C41" s="24" t="s">
        <v>2</v>
      </c>
      <c r="D41" s="20" t="s">
        <v>3</v>
      </c>
      <c r="E41" s="20" t="s">
        <v>4</v>
      </c>
      <c r="F41" s="20" t="s">
        <v>5</v>
      </c>
      <c r="G41" s="20" t="s">
        <v>6</v>
      </c>
      <c r="H41" s="20" t="s">
        <v>7</v>
      </c>
      <c r="I41" s="20" t="s">
        <v>8</v>
      </c>
      <c r="J41" s="20" t="s">
        <v>9</v>
      </c>
      <c r="K41" s="20" t="s">
        <v>10</v>
      </c>
      <c r="L41" s="20" t="s">
        <v>11</v>
      </c>
      <c r="M41" s="20" t="s">
        <v>12</v>
      </c>
      <c r="N41" s="20" t="s">
        <v>13</v>
      </c>
      <c r="O41" s="20" t="s">
        <v>14</v>
      </c>
      <c r="P41" s="20" t="s">
        <v>15</v>
      </c>
      <c r="Q41" s="20" t="s">
        <v>16</v>
      </c>
      <c r="R41" s="20" t="s">
        <v>17</v>
      </c>
      <c r="S41" s="20" t="s">
        <v>18</v>
      </c>
      <c r="T41" s="20" t="s">
        <v>19</v>
      </c>
      <c r="U41" s="20" t="s">
        <v>20</v>
      </c>
      <c r="V41" s="20" t="s">
        <v>21</v>
      </c>
      <c r="W41" s="20" t="s">
        <v>22</v>
      </c>
      <c r="X41" s="20" t="s">
        <v>23</v>
      </c>
      <c r="Y41" s="20" t="s">
        <v>24</v>
      </c>
      <c r="Z41" s="20" t="s">
        <v>25</v>
      </c>
      <c r="AA41" s="20" t="s">
        <v>26</v>
      </c>
      <c r="AB41" s="20" t="s">
        <v>27</v>
      </c>
      <c r="AC41" s="20" t="s">
        <v>28</v>
      </c>
      <c r="AD41" s="20" t="s">
        <v>29</v>
      </c>
      <c r="AE41" s="20" t="s">
        <v>30</v>
      </c>
      <c r="AF41" s="20" t="s">
        <v>31</v>
      </c>
      <c r="AG41" s="34" t="s">
        <v>32</v>
      </c>
      <c r="AH41" s="20" t="s">
        <v>2</v>
      </c>
      <c r="AI41" s="20" t="s">
        <v>3</v>
      </c>
      <c r="AJ41" s="20" t="s">
        <v>4</v>
      </c>
      <c r="AK41" s="20" t="s">
        <v>5</v>
      </c>
      <c r="AL41" s="20" t="s">
        <v>6</v>
      </c>
      <c r="AM41" s="20" t="s">
        <v>7</v>
      </c>
      <c r="AN41" s="20" t="s">
        <v>8</v>
      </c>
      <c r="AO41" s="20" t="s">
        <v>9</v>
      </c>
      <c r="AP41" s="20" t="s">
        <v>10</v>
      </c>
      <c r="AQ41" s="20" t="s">
        <v>11</v>
      </c>
      <c r="AR41" s="20" t="s">
        <v>12</v>
      </c>
      <c r="AS41" s="20" t="s">
        <v>13</v>
      </c>
      <c r="AT41" s="20" t="s">
        <v>14</v>
      </c>
      <c r="AU41" s="20" t="s">
        <v>15</v>
      </c>
      <c r="AV41" s="20" t="s">
        <v>16</v>
      </c>
      <c r="AW41" s="20" t="s">
        <v>17</v>
      </c>
      <c r="AX41" s="20" t="s">
        <v>18</v>
      </c>
      <c r="AY41" s="20" t="s">
        <v>19</v>
      </c>
      <c r="AZ41" s="20" t="s">
        <v>20</v>
      </c>
      <c r="BA41" s="20" t="s">
        <v>21</v>
      </c>
      <c r="BB41" s="20" t="s">
        <v>22</v>
      </c>
      <c r="BC41" s="20" t="s">
        <v>23</v>
      </c>
      <c r="BD41" s="20" t="s">
        <v>24</v>
      </c>
      <c r="BE41" s="20" t="s">
        <v>25</v>
      </c>
      <c r="BF41" s="20" t="s">
        <v>26</v>
      </c>
      <c r="BG41" s="20" t="s">
        <v>27</v>
      </c>
      <c r="BH41" s="20" t="s">
        <v>28</v>
      </c>
      <c r="BI41" s="20" t="s">
        <v>29</v>
      </c>
      <c r="BJ41" s="20" t="s">
        <v>30</v>
      </c>
      <c r="BK41" s="20" t="s">
        <v>31</v>
      </c>
      <c r="BL41" s="34" t="s">
        <v>32</v>
      </c>
    </row>
    <row r="42" spans="2:64" x14ac:dyDescent="0.35">
      <c r="B42" s="7" t="str">
        <f>B8</f>
        <v>Pessoa A</v>
      </c>
      <c r="C42" s="25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 t="s">
        <v>33</v>
      </c>
      <c r="AS42" s="17" t="s">
        <v>33</v>
      </c>
      <c r="AT42" s="17" t="s">
        <v>33</v>
      </c>
      <c r="AU42" s="17" t="s">
        <v>33</v>
      </c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</row>
    <row r="43" spans="2:64" x14ac:dyDescent="0.35">
      <c r="B43" s="7" t="str">
        <f>B9</f>
        <v>Pessoa B</v>
      </c>
      <c r="C43" s="26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</row>
    <row r="44" spans="2:64" x14ac:dyDescent="0.35">
      <c r="B44" s="7" t="str">
        <f>B10</f>
        <v>Pessoa C</v>
      </c>
      <c r="C44" s="25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</row>
    <row r="45" spans="2:64" x14ac:dyDescent="0.35">
      <c r="B45" s="7" t="str">
        <f>B11</f>
        <v>Pessoa D</v>
      </c>
      <c r="C45" s="26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</row>
    <row r="46" spans="2:64" x14ac:dyDescent="0.35">
      <c r="B46" s="7" t="str">
        <f>B29</f>
        <v>Pessoa E</v>
      </c>
      <c r="C46" s="27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BL46" s="22"/>
    </row>
    <row r="47" spans="2:64" x14ac:dyDescent="0.35">
      <c r="B47" s="7" t="str">
        <f>B30</f>
        <v>Pessoa F</v>
      </c>
      <c r="C47" s="25"/>
      <c r="BL47" s="22"/>
    </row>
    <row r="48" spans="2:64" x14ac:dyDescent="0.35">
      <c r="B48" s="7" t="str">
        <f>B14</f>
        <v>Pessoa G</v>
      </c>
      <c r="C48" s="25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21"/>
      <c r="BL48" s="22"/>
    </row>
    <row r="49" spans="2:78" x14ac:dyDescent="0.35">
      <c r="B49" s="7" t="str">
        <f>B15</f>
        <v>Pessoa H</v>
      </c>
      <c r="C49" s="25"/>
      <c r="BL49" s="22"/>
    </row>
    <row r="50" spans="2:78" x14ac:dyDescent="0.35">
      <c r="B50" s="7" t="str">
        <f>B16</f>
        <v>Pessoa I</v>
      </c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21"/>
      <c r="BL50" s="22"/>
    </row>
    <row r="51" spans="2:78" x14ac:dyDescent="0.35">
      <c r="B51" s="7" t="str">
        <f>B17</f>
        <v>Pessoa J</v>
      </c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21"/>
      <c r="BL51" s="22"/>
      <c r="BZ51" s="19"/>
    </row>
    <row r="56" spans="2:78" ht="17.5" thickBot="1" x14ac:dyDescent="0.4">
      <c r="C56" s="51" t="s">
        <v>46</v>
      </c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 t="s">
        <v>47</v>
      </c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</row>
    <row r="57" spans="2:78" ht="15" thickTop="1" x14ac:dyDescent="0.35">
      <c r="C57" s="7" t="str">
        <f t="shared" ref="C57:AG57" si="28">UPPER(LEFT(TEXT(WEEKDAY(DATE(AnoDoCalendário,7,C58),1),"ddd"),1))</f>
        <v>S</v>
      </c>
      <c r="D57" s="7" t="str">
        <f t="shared" si="28"/>
        <v>T</v>
      </c>
      <c r="E57" s="7" t="str">
        <f t="shared" si="28"/>
        <v>Q</v>
      </c>
      <c r="F57" s="7" t="str">
        <f t="shared" si="28"/>
        <v>Q</v>
      </c>
      <c r="G57" s="7" t="str">
        <f t="shared" si="28"/>
        <v>S</v>
      </c>
      <c r="H57" s="7" t="str">
        <f t="shared" si="28"/>
        <v>S</v>
      </c>
      <c r="I57" s="7" t="str">
        <f t="shared" si="28"/>
        <v>D</v>
      </c>
      <c r="J57" s="7" t="str">
        <f t="shared" si="28"/>
        <v>S</v>
      </c>
      <c r="K57" s="7" t="str">
        <f t="shared" si="28"/>
        <v>T</v>
      </c>
      <c r="L57" s="7" t="str">
        <f t="shared" si="28"/>
        <v>Q</v>
      </c>
      <c r="M57" s="7" t="str">
        <f t="shared" si="28"/>
        <v>Q</v>
      </c>
      <c r="N57" s="7" t="str">
        <f t="shared" si="28"/>
        <v>S</v>
      </c>
      <c r="O57" s="7" t="str">
        <f t="shared" si="28"/>
        <v>S</v>
      </c>
      <c r="P57" s="7" t="str">
        <f t="shared" si="28"/>
        <v>D</v>
      </c>
      <c r="Q57" s="7" t="str">
        <f t="shared" si="28"/>
        <v>S</v>
      </c>
      <c r="R57" s="7" t="str">
        <f t="shared" si="28"/>
        <v>T</v>
      </c>
      <c r="S57" s="7" t="str">
        <f t="shared" si="28"/>
        <v>Q</v>
      </c>
      <c r="T57" s="7" t="str">
        <f t="shared" si="28"/>
        <v>Q</v>
      </c>
      <c r="U57" s="7" t="str">
        <f t="shared" si="28"/>
        <v>S</v>
      </c>
      <c r="V57" s="7" t="str">
        <f t="shared" si="28"/>
        <v>S</v>
      </c>
      <c r="W57" s="7" t="str">
        <f t="shared" si="28"/>
        <v>D</v>
      </c>
      <c r="X57" s="7" t="str">
        <f t="shared" si="28"/>
        <v>S</v>
      </c>
      <c r="Y57" s="7" t="str">
        <f t="shared" si="28"/>
        <v>T</v>
      </c>
      <c r="Z57" s="7" t="str">
        <f t="shared" si="28"/>
        <v>Q</v>
      </c>
      <c r="AA57" s="7" t="str">
        <f t="shared" si="28"/>
        <v>Q</v>
      </c>
      <c r="AB57" s="7" t="str">
        <f t="shared" si="28"/>
        <v>S</v>
      </c>
      <c r="AC57" s="7" t="str">
        <f t="shared" si="28"/>
        <v>S</v>
      </c>
      <c r="AD57" s="7" t="str">
        <f t="shared" si="28"/>
        <v>D</v>
      </c>
      <c r="AE57" s="7" t="str">
        <f t="shared" si="28"/>
        <v>S</v>
      </c>
      <c r="AF57" s="7" t="str">
        <f t="shared" si="28"/>
        <v>T</v>
      </c>
      <c r="AG57" s="7" t="str">
        <f t="shared" si="28"/>
        <v>Q</v>
      </c>
      <c r="AH57" s="12" t="str">
        <f t="shared" ref="AH57:BL57" si="29">UPPER(LEFT(TEXT(WEEKDAY(DATE(AnoDoCalendário,8,AH58),1),"ddd"),1))</f>
        <v>Q</v>
      </c>
      <c r="AI57" s="7" t="str">
        <f t="shared" si="29"/>
        <v>S</v>
      </c>
      <c r="AJ57" s="7" t="str">
        <f t="shared" si="29"/>
        <v>S</v>
      </c>
      <c r="AK57" s="7" t="str">
        <f t="shared" si="29"/>
        <v>D</v>
      </c>
      <c r="AL57" s="7" t="str">
        <f t="shared" si="29"/>
        <v>S</v>
      </c>
      <c r="AM57" s="7" t="str">
        <f t="shared" si="29"/>
        <v>T</v>
      </c>
      <c r="AN57" s="7" t="str">
        <f t="shared" si="29"/>
        <v>Q</v>
      </c>
      <c r="AO57" s="7" t="str">
        <f t="shared" si="29"/>
        <v>Q</v>
      </c>
      <c r="AP57" s="7" t="str">
        <f t="shared" si="29"/>
        <v>S</v>
      </c>
      <c r="AQ57" s="7" t="str">
        <f t="shared" si="29"/>
        <v>S</v>
      </c>
      <c r="AR57" s="7" t="str">
        <f t="shared" si="29"/>
        <v>D</v>
      </c>
      <c r="AS57" s="7" t="str">
        <f t="shared" si="29"/>
        <v>S</v>
      </c>
      <c r="AT57" s="7" t="str">
        <f t="shared" si="29"/>
        <v>T</v>
      </c>
      <c r="AU57" s="7" t="str">
        <f t="shared" si="29"/>
        <v>Q</v>
      </c>
      <c r="AV57" s="7" t="str">
        <f t="shared" si="29"/>
        <v>Q</v>
      </c>
      <c r="AW57" s="7" t="str">
        <f t="shared" si="29"/>
        <v>S</v>
      </c>
      <c r="AX57" s="7" t="str">
        <f t="shared" si="29"/>
        <v>S</v>
      </c>
      <c r="AY57" s="7" t="str">
        <f t="shared" si="29"/>
        <v>D</v>
      </c>
      <c r="AZ57" s="7" t="str">
        <f t="shared" si="29"/>
        <v>S</v>
      </c>
      <c r="BA57" s="7" t="str">
        <f t="shared" si="29"/>
        <v>T</v>
      </c>
      <c r="BB57" s="7" t="str">
        <f t="shared" si="29"/>
        <v>Q</v>
      </c>
      <c r="BC57" s="7" t="str">
        <f t="shared" si="29"/>
        <v>Q</v>
      </c>
      <c r="BD57" s="7" t="str">
        <f t="shared" si="29"/>
        <v>S</v>
      </c>
      <c r="BE57" s="7" t="str">
        <f t="shared" si="29"/>
        <v>S</v>
      </c>
      <c r="BF57" s="7" t="str">
        <f t="shared" si="29"/>
        <v>D</v>
      </c>
      <c r="BG57" s="7" t="str">
        <f t="shared" si="29"/>
        <v>S</v>
      </c>
      <c r="BH57" s="7" t="str">
        <f t="shared" si="29"/>
        <v>T</v>
      </c>
      <c r="BI57" s="7" t="str">
        <f t="shared" si="29"/>
        <v>Q</v>
      </c>
      <c r="BJ57" s="7" t="str">
        <f t="shared" si="29"/>
        <v>Q</v>
      </c>
      <c r="BK57" s="7" t="str">
        <f t="shared" si="29"/>
        <v>S</v>
      </c>
      <c r="BL57" s="7" t="str">
        <f t="shared" si="29"/>
        <v>S</v>
      </c>
    </row>
    <row r="58" spans="2:78" ht="15" thickBot="1" x14ac:dyDescent="0.4">
      <c r="B58" s="29" t="s">
        <v>1</v>
      </c>
      <c r="C58" s="20" t="s">
        <v>2</v>
      </c>
      <c r="D58" s="20" t="s">
        <v>3</v>
      </c>
      <c r="E58" s="20" t="s">
        <v>4</v>
      </c>
      <c r="F58" s="20" t="s">
        <v>5</v>
      </c>
      <c r="G58" s="20" t="s">
        <v>6</v>
      </c>
      <c r="H58" s="20" t="s">
        <v>7</v>
      </c>
      <c r="I58" s="20" t="s">
        <v>8</v>
      </c>
      <c r="J58" s="20" t="s">
        <v>9</v>
      </c>
      <c r="K58" s="20" t="s">
        <v>10</v>
      </c>
      <c r="L58" s="20" t="s">
        <v>11</v>
      </c>
      <c r="M58" s="20" t="s">
        <v>12</v>
      </c>
      <c r="N58" s="20" t="s">
        <v>13</v>
      </c>
      <c r="O58" s="20" t="s">
        <v>14</v>
      </c>
      <c r="P58" s="20" t="s">
        <v>15</v>
      </c>
      <c r="Q58" s="20" t="s">
        <v>16</v>
      </c>
      <c r="R58" s="20" t="s">
        <v>17</v>
      </c>
      <c r="S58" s="20" t="s">
        <v>18</v>
      </c>
      <c r="T58" s="20" t="s">
        <v>19</v>
      </c>
      <c r="U58" s="20" t="s">
        <v>20</v>
      </c>
      <c r="V58" s="20" t="s">
        <v>21</v>
      </c>
      <c r="W58" s="20" t="s">
        <v>22</v>
      </c>
      <c r="X58" s="20" t="s">
        <v>23</v>
      </c>
      <c r="Y58" s="20" t="s">
        <v>24</v>
      </c>
      <c r="Z58" s="20" t="s">
        <v>25</v>
      </c>
      <c r="AA58" s="20" t="s">
        <v>26</v>
      </c>
      <c r="AB58" s="20" t="s">
        <v>27</v>
      </c>
      <c r="AC58" s="20" t="s">
        <v>28</v>
      </c>
      <c r="AD58" s="20" t="s">
        <v>29</v>
      </c>
      <c r="AE58" s="20" t="s">
        <v>30</v>
      </c>
      <c r="AF58" s="20" t="s">
        <v>31</v>
      </c>
      <c r="AG58" s="20" t="s">
        <v>32</v>
      </c>
      <c r="AH58" s="20" t="s">
        <v>2</v>
      </c>
      <c r="AI58" s="20" t="s">
        <v>3</v>
      </c>
      <c r="AJ58" s="20" t="s">
        <v>4</v>
      </c>
      <c r="AK58" s="20" t="s">
        <v>5</v>
      </c>
      <c r="AL58" s="20" t="s">
        <v>6</v>
      </c>
      <c r="AM58" s="20" t="s">
        <v>7</v>
      </c>
      <c r="AN58" s="20" t="s">
        <v>8</v>
      </c>
      <c r="AO58" s="20" t="s">
        <v>9</v>
      </c>
      <c r="AP58" s="20" t="s">
        <v>10</v>
      </c>
      <c r="AQ58" s="20" t="s">
        <v>11</v>
      </c>
      <c r="AR58" s="20" t="s">
        <v>12</v>
      </c>
      <c r="AS58" s="20" t="s">
        <v>13</v>
      </c>
      <c r="AT58" s="20" t="s">
        <v>14</v>
      </c>
      <c r="AU58" s="20" t="s">
        <v>15</v>
      </c>
      <c r="AV58" s="20" t="s">
        <v>16</v>
      </c>
      <c r="AW58" s="20" t="s">
        <v>17</v>
      </c>
      <c r="AX58" s="20" t="s">
        <v>18</v>
      </c>
      <c r="AY58" s="20" t="s">
        <v>19</v>
      </c>
      <c r="AZ58" s="20" t="s">
        <v>20</v>
      </c>
      <c r="BA58" s="20" t="s">
        <v>21</v>
      </c>
      <c r="BB58" s="20" t="s">
        <v>22</v>
      </c>
      <c r="BC58" s="20" t="s">
        <v>23</v>
      </c>
      <c r="BD58" s="20" t="s">
        <v>24</v>
      </c>
      <c r="BE58" s="20" t="s">
        <v>25</v>
      </c>
      <c r="BF58" s="20" t="s">
        <v>26</v>
      </c>
      <c r="BG58" s="20" t="s">
        <v>27</v>
      </c>
      <c r="BH58" s="20" t="s">
        <v>28</v>
      </c>
      <c r="BI58" s="20" t="s">
        <v>29</v>
      </c>
      <c r="BJ58" s="20" t="s">
        <v>30</v>
      </c>
      <c r="BK58" s="20" t="s">
        <v>31</v>
      </c>
      <c r="BL58" s="20" t="s">
        <v>32</v>
      </c>
    </row>
    <row r="59" spans="2:78" x14ac:dyDescent="0.35">
      <c r="B59" s="7" t="str">
        <f>B8</f>
        <v>Pessoa A</v>
      </c>
      <c r="C59" s="25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</row>
    <row r="60" spans="2:78" x14ac:dyDescent="0.35">
      <c r="B60" s="7" t="str">
        <f>B9</f>
        <v>Pessoa B</v>
      </c>
      <c r="C60" s="26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</row>
    <row r="61" spans="2:78" x14ac:dyDescent="0.35">
      <c r="B61" s="7" t="str">
        <f>B10</f>
        <v>Pessoa C</v>
      </c>
      <c r="C61" s="25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</row>
    <row r="62" spans="2:78" x14ac:dyDescent="0.35">
      <c r="B62" s="7" t="str">
        <f>B11</f>
        <v>Pessoa D</v>
      </c>
      <c r="C62" s="23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</row>
    <row r="63" spans="2:78" x14ac:dyDescent="0.35">
      <c r="B63" s="7" t="str">
        <f>B46</f>
        <v>Pessoa E</v>
      </c>
      <c r="AG63" s="22"/>
      <c r="BL63" s="22"/>
    </row>
    <row r="64" spans="2:78" x14ac:dyDescent="0.35">
      <c r="B64" s="7" t="str">
        <f>B47</f>
        <v>Pessoa F</v>
      </c>
      <c r="AG64" s="22"/>
      <c r="BL64" s="22"/>
    </row>
    <row r="65" spans="2:64" x14ac:dyDescent="0.35">
      <c r="B65" s="7" t="str">
        <f>B14</f>
        <v>Pessoa G</v>
      </c>
      <c r="AG65" s="22"/>
      <c r="BL65" s="22"/>
    </row>
    <row r="66" spans="2:64" x14ac:dyDescent="0.35">
      <c r="B66" s="7" t="str">
        <f>B15</f>
        <v>Pessoa H</v>
      </c>
      <c r="AG66" s="22"/>
      <c r="BL66" s="22"/>
    </row>
    <row r="67" spans="2:64" x14ac:dyDescent="0.35">
      <c r="B67" s="7" t="str">
        <f>B16</f>
        <v>Pessoa I</v>
      </c>
      <c r="AG67" s="22"/>
      <c r="BL67" s="22"/>
    </row>
    <row r="68" spans="2:64" x14ac:dyDescent="0.35">
      <c r="B68" s="7" t="str">
        <f>B17</f>
        <v>Pessoa J</v>
      </c>
      <c r="AG68" s="22"/>
      <c r="BL68" s="22"/>
    </row>
    <row r="73" spans="2:64" ht="17.5" thickBot="1" x14ac:dyDescent="0.4">
      <c r="C73" s="51" t="s">
        <v>48</v>
      </c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 t="s">
        <v>49</v>
      </c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  <c r="BC73" s="51"/>
      <c r="BD73" s="51"/>
      <c r="BE73" s="51"/>
      <c r="BF73" s="51"/>
      <c r="BG73" s="51"/>
      <c r="BH73" s="51"/>
      <c r="BI73" s="51"/>
      <c r="BJ73" s="51"/>
      <c r="BK73" s="51"/>
      <c r="BL73" s="51"/>
    </row>
    <row r="74" spans="2:64" ht="15" thickTop="1" x14ac:dyDescent="0.35">
      <c r="C74" s="7" t="str">
        <f t="shared" ref="C74:AF74" si="30">UPPER(LEFT(TEXT(WEEKDAY(DATE(AnoDoCalendário,9,C75),1),"ddd"),1))</f>
        <v>D</v>
      </c>
      <c r="D74" s="7" t="str">
        <f t="shared" si="30"/>
        <v>S</v>
      </c>
      <c r="E74" s="7" t="str">
        <f t="shared" si="30"/>
        <v>T</v>
      </c>
      <c r="F74" s="7" t="str">
        <f t="shared" si="30"/>
        <v>Q</v>
      </c>
      <c r="G74" s="7" t="str">
        <f t="shared" si="30"/>
        <v>Q</v>
      </c>
      <c r="H74" s="7" t="str">
        <f t="shared" si="30"/>
        <v>S</v>
      </c>
      <c r="I74" s="7" t="str">
        <f t="shared" si="30"/>
        <v>S</v>
      </c>
      <c r="J74" s="7" t="str">
        <f t="shared" si="30"/>
        <v>D</v>
      </c>
      <c r="K74" s="7" t="str">
        <f t="shared" si="30"/>
        <v>S</v>
      </c>
      <c r="L74" s="7" t="str">
        <f t="shared" si="30"/>
        <v>T</v>
      </c>
      <c r="M74" s="7" t="str">
        <f t="shared" si="30"/>
        <v>Q</v>
      </c>
      <c r="N74" s="7" t="str">
        <f t="shared" si="30"/>
        <v>Q</v>
      </c>
      <c r="O74" s="7" t="str">
        <f t="shared" si="30"/>
        <v>S</v>
      </c>
      <c r="P74" s="7" t="str">
        <f t="shared" si="30"/>
        <v>S</v>
      </c>
      <c r="Q74" s="7" t="str">
        <f t="shared" si="30"/>
        <v>D</v>
      </c>
      <c r="R74" s="7" t="str">
        <f t="shared" si="30"/>
        <v>S</v>
      </c>
      <c r="S74" s="7" t="str">
        <f t="shared" si="30"/>
        <v>T</v>
      </c>
      <c r="T74" s="7" t="str">
        <f t="shared" si="30"/>
        <v>Q</v>
      </c>
      <c r="U74" s="7" t="str">
        <f t="shared" si="30"/>
        <v>Q</v>
      </c>
      <c r="V74" s="7" t="str">
        <f t="shared" si="30"/>
        <v>S</v>
      </c>
      <c r="W74" s="7" t="str">
        <f t="shared" si="30"/>
        <v>S</v>
      </c>
      <c r="X74" s="7" t="str">
        <f t="shared" si="30"/>
        <v>D</v>
      </c>
      <c r="Y74" s="7" t="str">
        <f t="shared" si="30"/>
        <v>S</v>
      </c>
      <c r="Z74" s="7" t="str">
        <f t="shared" si="30"/>
        <v>T</v>
      </c>
      <c r="AA74" s="7" t="str">
        <f t="shared" si="30"/>
        <v>Q</v>
      </c>
      <c r="AB74" s="7" t="str">
        <f t="shared" si="30"/>
        <v>Q</v>
      </c>
      <c r="AC74" s="7" t="str">
        <f t="shared" si="30"/>
        <v>S</v>
      </c>
      <c r="AD74" s="7" t="str">
        <f t="shared" si="30"/>
        <v>S</v>
      </c>
      <c r="AE74" s="7" t="str">
        <f t="shared" si="30"/>
        <v>D</v>
      </c>
      <c r="AF74" s="7" t="str">
        <f t="shared" si="30"/>
        <v>S</v>
      </c>
      <c r="AG74" s="7"/>
      <c r="AH74" s="12" t="str">
        <f t="shared" ref="AH74:BL74" si="31">UPPER(LEFT(TEXT(WEEKDAY(DATE(AnoDoCalendário,10,AH75),1),"ddd"),1))</f>
        <v>T</v>
      </c>
      <c r="AI74" s="7" t="str">
        <f t="shared" si="31"/>
        <v>Q</v>
      </c>
      <c r="AJ74" s="7" t="str">
        <f t="shared" si="31"/>
        <v>Q</v>
      </c>
      <c r="AK74" s="7" t="str">
        <f t="shared" si="31"/>
        <v>S</v>
      </c>
      <c r="AL74" s="7" t="str">
        <f t="shared" si="31"/>
        <v>S</v>
      </c>
      <c r="AM74" s="7" t="str">
        <f t="shared" si="31"/>
        <v>D</v>
      </c>
      <c r="AN74" s="7" t="str">
        <f t="shared" si="31"/>
        <v>S</v>
      </c>
      <c r="AO74" s="7" t="str">
        <f t="shared" si="31"/>
        <v>T</v>
      </c>
      <c r="AP74" s="7" t="str">
        <f t="shared" si="31"/>
        <v>Q</v>
      </c>
      <c r="AQ74" s="7" t="str">
        <f t="shared" si="31"/>
        <v>Q</v>
      </c>
      <c r="AR74" s="7" t="str">
        <f t="shared" si="31"/>
        <v>S</v>
      </c>
      <c r="AS74" s="7" t="str">
        <f t="shared" si="31"/>
        <v>S</v>
      </c>
      <c r="AT74" s="7" t="str">
        <f t="shared" si="31"/>
        <v>D</v>
      </c>
      <c r="AU74" s="7" t="str">
        <f t="shared" si="31"/>
        <v>S</v>
      </c>
      <c r="AV74" s="7" t="str">
        <f t="shared" si="31"/>
        <v>T</v>
      </c>
      <c r="AW74" s="7" t="str">
        <f t="shared" si="31"/>
        <v>Q</v>
      </c>
      <c r="AX74" s="7" t="str">
        <f t="shared" si="31"/>
        <v>Q</v>
      </c>
      <c r="AY74" s="7" t="str">
        <f t="shared" si="31"/>
        <v>S</v>
      </c>
      <c r="AZ74" s="7" t="str">
        <f t="shared" si="31"/>
        <v>S</v>
      </c>
      <c r="BA74" s="7" t="str">
        <f t="shared" si="31"/>
        <v>D</v>
      </c>
      <c r="BB74" s="7" t="str">
        <f t="shared" si="31"/>
        <v>S</v>
      </c>
      <c r="BC74" s="7" t="str">
        <f t="shared" si="31"/>
        <v>T</v>
      </c>
      <c r="BD74" s="7" t="str">
        <f t="shared" si="31"/>
        <v>Q</v>
      </c>
      <c r="BE74" s="7" t="str">
        <f t="shared" si="31"/>
        <v>Q</v>
      </c>
      <c r="BF74" s="7" t="str">
        <f t="shared" si="31"/>
        <v>S</v>
      </c>
      <c r="BG74" s="7" t="str">
        <f t="shared" si="31"/>
        <v>S</v>
      </c>
      <c r="BH74" s="7" t="str">
        <f t="shared" si="31"/>
        <v>D</v>
      </c>
      <c r="BI74" s="7" t="str">
        <f t="shared" si="31"/>
        <v>S</v>
      </c>
      <c r="BJ74" s="7" t="str">
        <f t="shared" si="31"/>
        <v>T</v>
      </c>
      <c r="BK74" s="7" t="str">
        <f t="shared" si="31"/>
        <v>Q</v>
      </c>
      <c r="BL74" s="7" t="str">
        <f t="shared" si="31"/>
        <v>Q</v>
      </c>
    </row>
    <row r="75" spans="2:64" ht="15" thickBot="1" x14ac:dyDescent="0.4">
      <c r="B75" s="29" t="s">
        <v>1</v>
      </c>
      <c r="C75" s="20" t="s">
        <v>2</v>
      </c>
      <c r="D75" s="20" t="s">
        <v>3</v>
      </c>
      <c r="E75" s="20" t="s">
        <v>4</v>
      </c>
      <c r="F75" s="20" t="s">
        <v>5</v>
      </c>
      <c r="G75" s="20" t="s">
        <v>6</v>
      </c>
      <c r="H75" s="20" t="s">
        <v>7</v>
      </c>
      <c r="I75" s="20" t="s">
        <v>8</v>
      </c>
      <c r="J75" s="20" t="s">
        <v>9</v>
      </c>
      <c r="K75" s="20" t="s">
        <v>10</v>
      </c>
      <c r="L75" s="20" t="s">
        <v>11</v>
      </c>
      <c r="M75" s="20" t="s">
        <v>12</v>
      </c>
      <c r="N75" s="20" t="s">
        <v>13</v>
      </c>
      <c r="O75" s="20" t="s">
        <v>14</v>
      </c>
      <c r="P75" s="20" t="s">
        <v>15</v>
      </c>
      <c r="Q75" s="20" t="s">
        <v>16</v>
      </c>
      <c r="R75" s="20" t="s">
        <v>17</v>
      </c>
      <c r="S75" s="20" t="s">
        <v>18</v>
      </c>
      <c r="T75" s="20" t="s">
        <v>19</v>
      </c>
      <c r="U75" s="20" t="s">
        <v>20</v>
      </c>
      <c r="V75" s="20" t="s">
        <v>21</v>
      </c>
      <c r="W75" s="20" t="s">
        <v>22</v>
      </c>
      <c r="X75" s="20" t="s">
        <v>23</v>
      </c>
      <c r="Y75" s="20" t="s">
        <v>24</v>
      </c>
      <c r="Z75" s="20" t="s">
        <v>25</v>
      </c>
      <c r="AA75" s="20" t="s">
        <v>26</v>
      </c>
      <c r="AB75" s="20" t="s">
        <v>27</v>
      </c>
      <c r="AC75" s="20" t="s">
        <v>28</v>
      </c>
      <c r="AD75" s="20" t="s">
        <v>29</v>
      </c>
      <c r="AE75" s="20" t="s">
        <v>30</v>
      </c>
      <c r="AF75" s="20" t="s">
        <v>31</v>
      </c>
      <c r="AG75" s="34" t="s">
        <v>32</v>
      </c>
      <c r="AH75" s="20" t="s">
        <v>2</v>
      </c>
      <c r="AI75" s="20" t="s">
        <v>3</v>
      </c>
      <c r="AJ75" s="20" t="s">
        <v>4</v>
      </c>
      <c r="AK75" s="20" t="s">
        <v>5</v>
      </c>
      <c r="AL75" s="20" t="s">
        <v>6</v>
      </c>
      <c r="AM75" s="20" t="s">
        <v>7</v>
      </c>
      <c r="AN75" s="20" t="s">
        <v>8</v>
      </c>
      <c r="AO75" s="20" t="s">
        <v>9</v>
      </c>
      <c r="AP75" s="20" t="s">
        <v>10</v>
      </c>
      <c r="AQ75" s="20" t="s">
        <v>11</v>
      </c>
      <c r="AR75" s="20" t="s">
        <v>12</v>
      </c>
      <c r="AS75" s="20" t="s">
        <v>13</v>
      </c>
      <c r="AT75" s="20" t="s">
        <v>14</v>
      </c>
      <c r="AU75" s="20" t="s">
        <v>15</v>
      </c>
      <c r="AV75" s="20" t="s">
        <v>16</v>
      </c>
      <c r="AW75" s="20" t="s">
        <v>17</v>
      </c>
      <c r="AX75" s="20" t="s">
        <v>18</v>
      </c>
      <c r="AY75" s="20" t="s">
        <v>19</v>
      </c>
      <c r="AZ75" s="20" t="s">
        <v>20</v>
      </c>
      <c r="BA75" s="20" t="s">
        <v>21</v>
      </c>
      <c r="BB75" s="20" t="s">
        <v>22</v>
      </c>
      <c r="BC75" s="20" t="s">
        <v>23</v>
      </c>
      <c r="BD75" s="20" t="s">
        <v>24</v>
      </c>
      <c r="BE75" s="20" t="s">
        <v>25</v>
      </c>
      <c r="BF75" s="20" t="s">
        <v>26</v>
      </c>
      <c r="BG75" s="20" t="s">
        <v>27</v>
      </c>
      <c r="BH75" s="20" t="s">
        <v>28</v>
      </c>
      <c r="BI75" s="20" t="s">
        <v>29</v>
      </c>
      <c r="BJ75" s="20" t="s">
        <v>30</v>
      </c>
      <c r="BK75" s="20" t="s">
        <v>31</v>
      </c>
      <c r="BL75" s="20" t="s">
        <v>32</v>
      </c>
    </row>
    <row r="76" spans="2:64" x14ac:dyDescent="0.35">
      <c r="B76" s="7" t="str">
        <f t="shared" ref="B76:B85" si="32">B8</f>
        <v>Pessoa A</v>
      </c>
      <c r="C76" s="25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</row>
    <row r="77" spans="2:64" x14ac:dyDescent="0.35">
      <c r="B77" s="7" t="str">
        <f t="shared" si="32"/>
        <v>Pessoa B</v>
      </c>
      <c r="C77" s="26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</row>
    <row r="78" spans="2:64" x14ac:dyDescent="0.35">
      <c r="B78" s="7" t="str">
        <f t="shared" si="32"/>
        <v>Pessoa C</v>
      </c>
      <c r="C78" s="25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</row>
    <row r="79" spans="2:64" x14ac:dyDescent="0.35">
      <c r="B79" s="7" t="str">
        <f t="shared" si="32"/>
        <v>Pessoa D</v>
      </c>
      <c r="C79" s="23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/>
      <c r="BD79" s="22"/>
      <c r="BE79" s="22"/>
      <c r="BF79" s="22"/>
      <c r="BG79" s="22"/>
      <c r="BH79" s="22"/>
      <c r="BI79" s="22"/>
      <c r="BJ79" s="22"/>
      <c r="BK79" s="22"/>
      <c r="BL79" s="22"/>
    </row>
    <row r="80" spans="2:64" x14ac:dyDescent="0.35">
      <c r="B80" s="7" t="str">
        <f t="shared" si="32"/>
        <v>Pessoa E</v>
      </c>
      <c r="BL80" s="22"/>
    </row>
    <row r="81" spans="2:64" x14ac:dyDescent="0.35">
      <c r="B81" s="7" t="str">
        <f t="shared" si="32"/>
        <v>Pessoa F</v>
      </c>
      <c r="BL81" s="22"/>
    </row>
    <row r="82" spans="2:64" x14ac:dyDescent="0.35">
      <c r="B82" s="7" t="str">
        <f t="shared" si="32"/>
        <v>Pessoa G</v>
      </c>
      <c r="BL82" s="22"/>
    </row>
    <row r="83" spans="2:64" x14ac:dyDescent="0.35">
      <c r="B83" s="7" t="str">
        <f t="shared" si="32"/>
        <v>Pessoa H</v>
      </c>
      <c r="BL83" s="22"/>
    </row>
    <row r="84" spans="2:64" x14ac:dyDescent="0.35">
      <c r="B84" s="7" t="str">
        <f t="shared" si="32"/>
        <v>Pessoa I</v>
      </c>
      <c r="BL84" s="22"/>
    </row>
    <row r="85" spans="2:64" x14ac:dyDescent="0.35">
      <c r="B85" s="7" t="str">
        <f t="shared" si="32"/>
        <v>Pessoa J</v>
      </c>
      <c r="BL85" s="22"/>
    </row>
    <row r="90" spans="2:64" ht="17.5" thickBot="1" x14ac:dyDescent="0.4">
      <c r="C90" s="51" t="s">
        <v>50</v>
      </c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 t="s">
        <v>51</v>
      </c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  <c r="AV90" s="51"/>
      <c r="AW90" s="51"/>
      <c r="AX90" s="51"/>
      <c r="AY90" s="51"/>
      <c r="AZ90" s="51"/>
      <c r="BA90" s="51"/>
      <c r="BB90" s="51"/>
      <c r="BC90" s="51"/>
      <c r="BD90" s="51"/>
      <c r="BE90" s="51"/>
      <c r="BF90" s="51"/>
      <c r="BG90" s="51"/>
      <c r="BH90" s="51"/>
      <c r="BI90" s="51"/>
      <c r="BJ90" s="51"/>
      <c r="BK90" s="51"/>
      <c r="BL90" s="51"/>
    </row>
    <row r="91" spans="2:64" ht="15" thickTop="1" x14ac:dyDescent="0.35">
      <c r="C91" s="7" t="str">
        <f t="shared" ref="C91:AF91" si="33">UPPER(LEFT(TEXT(WEEKDAY(DATE(AnoDoCalendário,11,C92),1),"ddd"),1))</f>
        <v>S</v>
      </c>
      <c r="D91" s="7" t="str">
        <f t="shared" si="33"/>
        <v>S</v>
      </c>
      <c r="E91" s="7" t="str">
        <f t="shared" si="33"/>
        <v>D</v>
      </c>
      <c r="F91" s="7" t="str">
        <f t="shared" si="33"/>
        <v>S</v>
      </c>
      <c r="G91" s="7" t="str">
        <f t="shared" si="33"/>
        <v>T</v>
      </c>
      <c r="H91" s="7" t="str">
        <f t="shared" si="33"/>
        <v>Q</v>
      </c>
      <c r="I91" s="7" t="str">
        <f t="shared" si="33"/>
        <v>Q</v>
      </c>
      <c r="J91" s="7" t="str">
        <f t="shared" si="33"/>
        <v>S</v>
      </c>
      <c r="K91" s="7" t="str">
        <f t="shared" si="33"/>
        <v>S</v>
      </c>
      <c r="L91" s="7" t="str">
        <f t="shared" si="33"/>
        <v>D</v>
      </c>
      <c r="M91" s="7" t="str">
        <f t="shared" si="33"/>
        <v>S</v>
      </c>
      <c r="N91" s="7" t="str">
        <f t="shared" si="33"/>
        <v>T</v>
      </c>
      <c r="O91" s="7" t="str">
        <f t="shared" si="33"/>
        <v>Q</v>
      </c>
      <c r="P91" s="7" t="str">
        <f t="shared" si="33"/>
        <v>Q</v>
      </c>
      <c r="Q91" s="7" t="str">
        <f t="shared" si="33"/>
        <v>S</v>
      </c>
      <c r="R91" s="7" t="str">
        <f t="shared" si="33"/>
        <v>S</v>
      </c>
      <c r="S91" s="7" t="str">
        <f t="shared" si="33"/>
        <v>D</v>
      </c>
      <c r="T91" s="7" t="str">
        <f t="shared" si="33"/>
        <v>S</v>
      </c>
      <c r="U91" s="7" t="str">
        <f t="shared" si="33"/>
        <v>T</v>
      </c>
      <c r="V91" s="7" t="str">
        <f t="shared" si="33"/>
        <v>Q</v>
      </c>
      <c r="W91" s="7" t="str">
        <f t="shared" si="33"/>
        <v>Q</v>
      </c>
      <c r="X91" s="7" t="str">
        <f t="shared" si="33"/>
        <v>S</v>
      </c>
      <c r="Y91" s="7" t="str">
        <f t="shared" si="33"/>
        <v>S</v>
      </c>
      <c r="Z91" s="7" t="str">
        <f t="shared" si="33"/>
        <v>D</v>
      </c>
      <c r="AA91" s="7" t="str">
        <f t="shared" si="33"/>
        <v>S</v>
      </c>
      <c r="AB91" s="7" t="str">
        <f t="shared" si="33"/>
        <v>T</v>
      </c>
      <c r="AC91" s="7" t="str">
        <f t="shared" si="33"/>
        <v>Q</v>
      </c>
      <c r="AD91" s="7" t="str">
        <f t="shared" si="33"/>
        <v>Q</v>
      </c>
      <c r="AE91" s="7" t="str">
        <f t="shared" si="33"/>
        <v>S</v>
      </c>
      <c r="AF91" s="7" t="str">
        <f t="shared" si="33"/>
        <v>S</v>
      </c>
      <c r="AG91" s="7"/>
      <c r="AH91" s="12" t="str">
        <f>UPPER(LEFT(TEXT(WEEKDAY(DATE(AnoDoCalendário,12,AH92),1),"ddd"),1))</f>
        <v>D</v>
      </c>
      <c r="AI91" s="7" t="str">
        <f t="shared" ref="AI91:BL91" si="34">UPPER(LEFT(TEXT(WEEKDAY(DATE(AnoDoCalendário,12,AI92),1),"ddd"),1))</f>
        <v>S</v>
      </c>
      <c r="AJ91" s="7" t="str">
        <f t="shared" si="34"/>
        <v>T</v>
      </c>
      <c r="AK91" s="7" t="str">
        <f t="shared" si="34"/>
        <v>Q</v>
      </c>
      <c r="AL91" s="7" t="str">
        <f t="shared" si="34"/>
        <v>Q</v>
      </c>
      <c r="AM91" s="7" t="str">
        <f t="shared" si="34"/>
        <v>S</v>
      </c>
      <c r="AN91" s="7" t="str">
        <f t="shared" si="34"/>
        <v>S</v>
      </c>
      <c r="AO91" s="7" t="str">
        <f t="shared" si="34"/>
        <v>D</v>
      </c>
      <c r="AP91" s="7" t="str">
        <f t="shared" si="34"/>
        <v>S</v>
      </c>
      <c r="AQ91" s="7" t="str">
        <f t="shared" si="34"/>
        <v>T</v>
      </c>
      <c r="AR91" s="7" t="str">
        <f t="shared" si="34"/>
        <v>Q</v>
      </c>
      <c r="AS91" s="7" t="str">
        <f t="shared" si="34"/>
        <v>Q</v>
      </c>
      <c r="AT91" s="7" t="str">
        <f t="shared" si="34"/>
        <v>S</v>
      </c>
      <c r="AU91" s="7" t="str">
        <f t="shared" si="34"/>
        <v>S</v>
      </c>
      <c r="AV91" s="7" t="str">
        <f t="shared" si="34"/>
        <v>D</v>
      </c>
      <c r="AW91" s="7" t="str">
        <f t="shared" si="34"/>
        <v>S</v>
      </c>
      <c r="AX91" s="7" t="str">
        <f t="shared" si="34"/>
        <v>T</v>
      </c>
      <c r="AY91" s="7" t="str">
        <f t="shared" si="34"/>
        <v>Q</v>
      </c>
      <c r="AZ91" s="7" t="str">
        <f t="shared" si="34"/>
        <v>Q</v>
      </c>
      <c r="BA91" s="7" t="str">
        <f t="shared" si="34"/>
        <v>S</v>
      </c>
      <c r="BB91" s="7" t="str">
        <f t="shared" si="34"/>
        <v>S</v>
      </c>
      <c r="BC91" s="7" t="str">
        <f t="shared" si="34"/>
        <v>D</v>
      </c>
      <c r="BD91" s="7" t="str">
        <f t="shared" si="34"/>
        <v>S</v>
      </c>
      <c r="BE91" s="7" t="str">
        <f t="shared" si="34"/>
        <v>T</v>
      </c>
      <c r="BF91" s="7" t="str">
        <f t="shared" si="34"/>
        <v>Q</v>
      </c>
      <c r="BG91" s="7" t="str">
        <f t="shared" si="34"/>
        <v>Q</v>
      </c>
      <c r="BH91" s="7" t="str">
        <f t="shared" si="34"/>
        <v>S</v>
      </c>
      <c r="BI91" s="7" t="str">
        <f t="shared" si="34"/>
        <v>S</v>
      </c>
      <c r="BJ91" s="7" t="str">
        <f t="shared" si="34"/>
        <v>D</v>
      </c>
      <c r="BK91" s="7" t="str">
        <f t="shared" si="34"/>
        <v>S</v>
      </c>
      <c r="BL91" s="7" t="str">
        <f t="shared" si="34"/>
        <v>T</v>
      </c>
    </row>
    <row r="92" spans="2:64" ht="15" thickBot="1" x14ac:dyDescent="0.4">
      <c r="B92" s="29" t="s">
        <v>1</v>
      </c>
      <c r="C92" s="24" t="s">
        <v>2</v>
      </c>
      <c r="D92" s="20" t="s">
        <v>3</v>
      </c>
      <c r="E92" s="20" t="s">
        <v>4</v>
      </c>
      <c r="F92" s="20" t="s">
        <v>5</v>
      </c>
      <c r="G92" s="20" t="s">
        <v>6</v>
      </c>
      <c r="H92" s="20" t="s">
        <v>7</v>
      </c>
      <c r="I92" s="20" t="s">
        <v>8</v>
      </c>
      <c r="J92" s="20" t="s">
        <v>9</v>
      </c>
      <c r="K92" s="20" t="s">
        <v>10</v>
      </c>
      <c r="L92" s="20" t="s">
        <v>11</v>
      </c>
      <c r="M92" s="20" t="s">
        <v>12</v>
      </c>
      <c r="N92" s="20" t="s">
        <v>13</v>
      </c>
      <c r="O92" s="20" t="s">
        <v>14</v>
      </c>
      <c r="P92" s="20" t="s">
        <v>15</v>
      </c>
      <c r="Q92" s="20" t="s">
        <v>16</v>
      </c>
      <c r="R92" s="20" t="s">
        <v>17</v>
      </c>
      <c r="S92" s="20" t="s">
        <v>18</v>
      </c>
      <c r="T92" s="20" t="s">
        <v>19</v>
      </c>
      <c r="U92" s="20" t="s">
        <v>20</v>
      </c>
      <c r="V92" s="20" t="s">
        <v>21</v>
      </c>
      <c r="W92" s="20" t="s">
        <v>22</v>
      </c>
      <c r="X92" s="20" t="s">
        <v>23</v>
      </c>
      <c r="Y92" s="20" t="s">
        <v>24</v>
      </c>
      <c r="Z92" s="20" t="s">
        <v>25</v>
      </c>
      <c r="AA92" s="20" t="s">
        <v>26</v>
      </c>
      <c r="AB92" s="20" t="s">
        <v>27</v>
      </c>
      <c r="AC92" s="20" t="s">
        <v>28</v>
      </c>
      <c r="AD92" s="20" t="s">
        <v>29</v>
      </c>
      <c r="AE92" s="20" t="s">
        <v>30</v>
      </c>
      <c r="AF92" s="20" t="s">
        <v>31</v>
      </c>
      <c r="AG92" s="34" t="s">
        <v>63</v>
      </c>
      <c r="AH92" s="20" t="s">
        <v>2</v>
      </c>
      <c r="AI92" s="20" t="s">
        <v>3</v>
      </c>
      <c r="AJ92" s="20" t="s">
        <v>4</v>
      </c>
      <c r="AK92" s="20" t="s">
        <v>5</v>
      </c>
      <c r="AL92" s="20" t="s">
        <v>6</v>
      </c>
      <c r="AM92" s="20" t="s">
        <v>7</v>
      </c>
      <c r="AN92" s="20" t="s">
        <v>8</v>
      </c>
      <c r="AO92" s="20" t="s">
        <v>9</v>
      </c>
      <c r="AP92" s="20" t="s">
        <v>10</v>
      </c>
      <c r="AQ92" s="20" t="s">
        <v>11</v>
      </c>
      <c r="AR92" s="20" t="s">
        <v>12</v>
      </c>
      <c r="AS92" s="20" t="s">
        <v>13</v>
      </c>
      <c r="AT92" s="20" t="s">
        <v>14</v>
      </c>
      <c r="AU92" s="20" t="s">
        <v>15</v>
      </c>
      <c r="AV92" s="20" t="s">
        <v>16</v>
      </c>
      <c r="AW92" s="20" t="s">
        <v>17</v>
      </c>
      <c r="AX92" s="20" t="s">
        <v>18</v>
      </c>
      <c r="AY92" s="20" t="s">
        <v>19</v>
      </c>
      <c r="AZ92" s="20" t="s">
        <v>20</v>
      </c>
      <c r="BA92" s="20" t="s">
        <v>21</v>
      </c>
      <c r="BB92" s="20" t="s">
        <v>22</v>
      </c>
      <c r="BC92" s="20" t="s">
        <v>23</v>
      </c>
      <c r="BD92" s="20" t="s">
        <v>24</v>
      </c>
      <c r="BE92" s="20" t="s">
        <v>25</v>
      </c>
      <c r="BF92" s="20" t="s">
        <v>26</v>
      </c>
      <c r="BG92" s="20" t="s">
        <v>27</v>
      </c>
      <c r="BH92" s="20" t="s">
        <v>28</v>
      </c>
      <c r="BI92" s="20" t="s">
        <v>29</v>
      </c>
      <c r="BJ92" s="20" t="s">
        <v>30</v>
      </c>
      <c r="BK92" s="20" t="s">
        <v>31</v>
      </c>
      <c r="BL92" s="20" t="s">
        <v>32</v>
      </c>
    </row>
    <row r="93" spans="2:64" x14ac:dyDescent="0.35">
      <c r="B93" s="7" t="str">
        <f>B8</f>
        <v>Pessoa A</v>
      </c>
      <c r="C93" s="25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  <c r="BI93" s="17"/>
      <c r="BJ93" s="17"/>
      <c r="BK93" s="17"/>
      <c r="BL93" s="17"/>
    </row>
    <row r="94" spans="2:64" x14ac:dyDescent="0.35">
      <c r="B94" s="7" t="str">
        <f t="shared" ref="B94:B100" si="35">B9</f>
        <v>Pessoa B</v>
      </c>
      <c r="C94" s="26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/>
      <c r="BB94" s="18"/>
      <c r="BC94" s="18"/>
      <c r="BD94" s="18"/>
      <c r="BE94" s="18"/>
      <c r="BF94" s="18"/>
      <c r="BG94" s="18"/>
      <c r="BH94" s="18"/>
      <c r="BI94" s="18"/>
      <c r="BJ94" s="18"/>
      <c r="BK94" s="18"/>
      <c r="BL94" s="18"/>
    </row>
    <row r="95" spans="2:64" x14ac:dyDescent="0.35">
      <c r="B95" s="7" t="str">
        <f t="shared" si="35"/>
        <v>Pessoa C</v>
      </c>
      <c r="C95" s="25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  <c r="AX95" s="17"/>
      <c r="AY95" s="17"/>
      <c r="AZ95" s="17"/>
      <c r="BA95" s="17"/>
      <c r="BB95" s="17"/>
      <c r="BC95" s="17"/>
      <c r="BD95" s="17"/>
      <c r="BE95" s="17"/>
      <c r="BF95" s="17"/>
      <c r="BG95" s="17"/>
      <c r="BH95" s="17"/>
      <c r="BI95" s="17"/>
      <c r="BJ95" s="17"/>
      <c r="BK95" s="17"/>
      <c r="BL95" s="17"/>
    </row>
    <row r="96" spans="2:64" x14ac:dyDescent="0.35">
      <c r="B96" s="7" t="str">
        <f t="shared" si="35"/>
        <v>Pessoa D</v>
      </c>
      <c r="C96" s="23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22"/>
      <c r="BC96" s="22"/>
      <c r="BD96" s="22"/>
      <c r="BE96" s="22"/>
      <c r="BF96" s="22"/>
      <c r="BG96" s="22"/>
      <c r="BH96" s="22"/>
      <c r="BI96" s="22"/>
      <c r="BJ96" s="22"/>
      <c r="BK96" s="22"/>
      <c r="BL96" s="22"/>
    </row>
    <row r="97" spans="2:64" x14ac:dyDescent="0.35">
      <c r="B97" s="7" t="str">
        <f t="shared" si="35"/>
        <v>Pessoa E</v>
      </c>
      <c r="AG97" s="22"/>
      <c r="BL97" s="22"/>
    </row>
    <row r="98" spans="2:64" x14ac:dyDescent="0.35">
      <c r="B98" s="7" t="str">
        <f t="shared" si="35"/>
        <v>Pessoa F</v>
      </c>
      <c r="AG98" s="22"/>
      <c r="BL98" s="22"/>
    </row>
    <row r="99" spans="2:64" x14ac:dyDescent="0.35">
      <c r="B99" s="7" t="str">
        <f t="shared" si="35"/>
        <v>Pessoa G</v>
      </c>
      <c r="AG99" s="22"/>
      <c r="BL99" s="22"/>
    </row>
    <row r="100" spans="2:64" x14ac:dyDescent="0.35">
      <c r="B100" s="7" t="str">
        <f t="shared" si="35"/>
        <v>Pessoa H</v>
      </c>
      <c r="AG100" s="22"/>
      <c r="BL100" s="22"/>
    </row>
    <row r="101" spans="2:64" x14ac:dyDescent="0.35">
      <c r="B101" s="7" t="str">
        <f>B16</f>
        <v>Pessoa I</v>
      </c>
      <c r="AG101" s="22"/>
      <c r="BL101" s="22"/>
    </row>
    <row r="102" spans="2:64" x14ac:dyDescent="0.35">
      <c r="B102" s="7" t="str">
        <f>B17</f>
        <v>Pessoa J</v>
      </c>
      <c r="AG102" s="22"/>
      <c r="BL102" s="22"/>
    </row>
    <row r="104" spans="2:64" x14ac:dyDescent="0.35">
      <c r="AG104" s="33"/>
    </row>
    <row r="115" spans="2:2" x14ac:dyDescent="0.35">
      <c r="B115" s="37"/>
    </row>
  </sheetData>
  <sheetProtection formatCells="0" formatColumns="0" deleteColumns="0" deleteRows="0"/>
  <mergeCells count="19">
    <mergeCell ref="BU2:BY2"/>
    <mergeCell ref="C90:AG90"/>
    <mergeCell ref="AH90:BL90"/>
    <mergeCell ref="M3:P3"/>
    <mergeCell ref="C39:AG39"/>
    <mergeCell ref="AH39:BL39"/>
    <mergeCell ref="C56:AG56"/>
    <mergeCell ref="AH56:BL56"/>
    <mergeCell ref="C73:AG73"/>
    <mergeCell ref="AH73:BL73"/>
    <mergeCell ref="G1:I1"/>
    <mergeCell ref="C5:AG5"/>
    <mergeCell ref="AH5:BL5"/>
    <mergeCell ref="C22:AG22"/>
    <mergeCell ref="AH22:BL22"/>
    <mergeCell ref="D3:F3"/>
    <mergeCell ref="H3:K3"/>
    <mergeCell ref="R3:U3"/>
    <mergeCell ref="W3:Z3"/>
  </mergeCells>
  <conditionalFormatting sqref="C8:BL16 AH35:BL40 D19:AG19 C17:AG18 AH17:BL23 C20:AG40 AH24:BK34 AH41:BK51 C52:AG73 C74:AF85 C86:AG91 AH52:BL103 C103:AG103 C92:AF102 C42:AF51">
    <cfRule type="expression" priority="73" stopIfTrue="1">
      <formula>$C$8=""</formula>
    </cfRule>
  </conditionalFormatting>
  <conditionalFormatting sqref="BU7">
    <cfRule type="expression" dxfId="152" priority="66" stopIfTrue="1">
      <formula>BU7=TipoFormacao</formula>
    </cfRule>
    <cfRule type="expression" dxfId="151" priority="67" stopIfTrue="1">
      <formula>BU7=TipoFerias</formula>
    </cfRule>
  </conditionalFormatting>
  <conditionalFormatting sqref="BV7">
    <cfRule type="expression" dxfId="150" priority="64" stopIfTrue="1">
      <formula>BV7=TipoFormacao</formula>
    </cfRule>
    <cfRule type="expression" dxfId="149" priority="65" stopIfTrue="1">
      <formula>BV7=TipoFerias</formula>
    </cfRule>
  </conditionalFormatting>
  <conditionalFormatting sqref="BW7">
    <cfRule type="expression" dxfId="148" priority="62" stopIfTrue="1">
      <formula>BW7=TipoFormacao</formula>
    </cfRule>
    <cfRule type="expression" dxfId="147" priority="63" stopIfTrue="1">
      <formula>BW7=TipoFerias</formula>
    </cfRule>
  </conditionalFormatting>
  <conditionalFormatting sqref="BX7">
    <cfRule type="expression" dxfId="146" priority="60" stopIfTrue="1">
      <formula>BX7=TipoFormacao</formula>
    </cfRule>
    <cfRule type="expression" dxfId="145" priority="61" stopIfTrue="1">
      <formula>BX7=TipoFerias</formula>
    </cfRule>
  </conditionalFormatting>
  <conditionalFormatting sqref="BY7">
    <cfRule type="expression" dxfId="144" priority="58" stopIfTrue="1">
      <formula>BY7=TipoFormacao</formula>
    </cfRule>
    <cfRule type="expression" dxfId="143" priority="59" stopIfTrue="1">
      <formula>BY7=TipoFerias</formula>
    </cfRule>
  </conditionalFormatting>
  <conditionalFormatting sqref="BV6:BY6 C1:BL16 AH35:BL40 D19:AG19 C17:AG18 AH17:BL23 C20:AG40 AH24:BK34 AH41:BK51 C52:AG73 C74:AF85 C86:AG91 AH52:BL1048576 C103:AG1048576 C92:AF102 C42:AF51">
    <cfRule type="expression" dxfId="142" priority="55" stopIfTrue="1">
      <formula>C1=Tipo3</formula>
    </cfRule>
    <cfRule type="expression" dxfId="141" priority="56" stopIfTrue="1">
      <formula>C1=Tipo2</formula>
    </cfRule>
    <cfRule type="expression" dxfId="140" priority="57" stopIfTrue="1">
      <formula>C1=Tipo1</formula>
    </cfRule>
    <cfRule type="expression" dxfId="139" priority="68" stopIfTrue="1">
      <formula>C1=TipoFormacao</formula>
    </cfRule>
    <cfRule type="expression" dxfId="138" priority="70" stopIfTrue="1">
      <formula>C1=TipoFerias</formula>
    </cfRule>
  </conditionalFormatting>
  <conditionalFormatting sqref="C8:AG17">
    <cfRule type="expression" dxfId="137" priority="12" stopIfTrue="1">
      <formula>IFERROR(VLOOKUP(DATE(AnoDoCalendário,1,INDIRECT(ADDRESS($CM$5,COLUMN(),4))),$CU:$CU,1,FALSE),FALSE)</formula>
    </cfRule>
    <cfRule type="expression" dxfId="136" priority="43" stopIfTrue="1">
      <formula>OR(WEEKDAY(DATE(AnoDoCalendário,1,C$7))=1,WEEKDAY(DATE(AnoDoCalendário,1,C$7))=7)</formula>
    </cfRule>
  </conditionalFormatting>
  <conditionalFormatting sqref="AH8:BL17">
    <cfRule type="expression" dxfId="135" priority="11" stopIfTrue="1">
      <formula>IFERROR(VLOOKUP(DATE(AnoDoCalendário,2,INDIRECT(ADDRESS($CM$5,COLUMN(),4))),$CU:$CU,1,FALSE),FALSE)</formula>
    </cfRule>
    <cfRule type="expression" dxfId="134" priority="42" stopIfTrue="1">
      <formula>OR(WEEKDAY(DATE(AnoDoCalendário,2,AH$7))=1,WEEKDAY(DATE(AnoDoCalendário,2,AH$7))=7)</formula>
    </cfRule>
  </conditionalFormatting>
  <conditionalFormatting sqref="C42:AF51">
    <cfRule type="expression" dxfId="133" priority="8" stopIfTrue="1">
      <formula>IFERROR(VLOOKUP(DATE(AnoDoCalendário,5,INDIRECT(ADDRESS($CM$5,COLUMN(),4))),$CU:$CU,1,FALSE),FALSE)</formula>
    </cfRule>
    <cfRule type="expression" dxfId="132" priority="38" stopIfTrue="1">
      <formula>WEEKDAY(DATE(AnoDoCalendário,5,INDIRECT(ADDRESS($CM$5,COLUMN(),4))))=7</formula>
    </cfRule>
    <cfRule type="expression" dxfId="131" priority="39" stopIfTrue="1">
      <formula>WEEKDAY(DATE(AnoDoCalendário,5,INDIRECT(ADDRESS($CM$5,COLUMN(),4))))=1</formula>
    </cfRule>
  </conditionalFormatting>
  <conditionalFormatting sqref="C59:AG68">
    <cfRule type="expression" dxfId="130" priority="6" stopIfTrue="1">
      <formula>IFERROR(VLOOKUP(DATE(AnoDoCalendário,7,INDIRECT(ADDRESS($CM$5,COLUMN(),4))),$CU:$CU,1,FALSE),FALSE)</formula>
    </cfRule>
    <cfRule type="expression" dxfId="129" priority="36" stopIfTrue="1">
      <formula>WEEKDAY(DATE(AnoDoCalendário,7,INDIRECT(ADDRESS($CM$5,COLUMN(),4))))=7</formula>
    </cfRule>
    <cfRule type="expression" dxfId="128" priority="37" stopIfTrue="1">
      <formula>WEEKDAY(DATE(AnoDoCalendário,7,INDIRECT(ADDRESS($CM$5,COLUMN(),4))))=1</formula>
    </cfRule>
  </conditionalFormatting>
  <conditionalFormatting sqref="C76:AF85">
    <cfRule type="expression" dxfId="127" priority="34" stopIfTrue="1">
      <formula>WEEKDAY(DATE(AnoDoCalendário,9,INDIRECT(ADDRESS($CM$5,COLUMN(),4))))=7</formula>
    </cfRule>
    <cfRule type="expression" dxfId="126" priority="35" stopIfTrue="1">
      <formula>WEEKDAY(DATE(AnoDoCalendário,9,INDIRECT(ADDRESS($CM$5,COLUMN(),4))))=1</formula>
    </cfRule>
  </conditionalFormatting>
  <conditionalFormatting sqref="C93:AF102">
    <cfRule type="expression" dxfId="125" priority="2" stopIfTrue="1">
      <formula>IFERROR(VLOOKUP(DATE(AnoDoCalendário,11,INDIRECT(ADDRESS($CM$5,COLUMN(),4))),$CU:$CU,1,FALSE),FALSE)</formula>
    </cfRule>
    <cfRule type="expression" dxfId="124" priority="32" stopIfTrue="1">
      <formula>WEEKDAY(DATE(AnoDoCalendário,11,INDIRECT(ADDRESS($CM$5,COLUMN(),4))))=7</formula>
    </cfRule>
    <cfRule type="expression" dxfId="123" priority="33" stopIfTrue="1">
      <formula>WEEKDAY(DATE(AnoDoCalendário,11,INDIRECT(ADDRESS($CM$5,COLUMN(),4))))=1</formula>
    </cfRule>
  </conditionalFormatting>
  <conditionalFormatting sqref="AH42:BK51">
    <cfRule type="expression" dxfId="122" priority="30" stopIfTrue="1">
      <formula>WEEKDAY(DATE(AnoDoCalendário,6,INDIRECT(ADDRESS($CM$5,COLUMN(),4))))=7</formula>
    </cfRule>
    <cfRule type="expression" dxfId="121" priority="31" stopIfTrue="1">
      <formula>WEEKDAY(DATE(AnoDoCalendário,6,INDIRECT(ADDRESS($CM$5,COLUMN(),4))))=1</formula>
    </cfRule>
  </conditionalFormatting>
  <conditionalFormatting sqref="C25:AG34">
    <cfRule type="expression" dxfId="120" priority="10" stopIfTrue="1">
      <formula>IFERROR(VLOOKUP(DATE(AnoDoCalendário,3,INDIRECT(ADDRESS($CM$5,COLUMN(),4))),$CU:$CU,1,FALSE),FALSE)</formula>
    </cfRule>
    <cfRule type="expression" dxfId="119" priority="26" stopIfTrue="1">
      <formula>WEEKDAY(DATE(AnoDoCalendário,3,INDIRECT(ADDRESS($CM$5,COLUMN(),4))))=7</formula>
    </cfRule>
    <cfRule type="expression" dxfId="118" priority="29" stopIfTrue="1">
      <formula>WEEKDAY(DATE(AnoDoCalendário,3,INDIRECT(ADDRESS($CM$5,COLUMN(),4))))=1</formula>
    </cfRule>
  </conditionalFormatting>
  <conditionalFormatting sqref="AH25:BK34">
    <cfRule type="expression" dxfId="117" priority="9" stopIfTrue="1">
      <formula>IFERROR(VLOOKUP(DATE(AnoDoCalendário,4,INDIRECT(ADDRESS($CM$5,COLUMN(),4))),$CU:$CU,1,FALSE),FALSE)</formula>
    </cfRule>
    <cfRule type="expression" dxfId="116" priority="27" stopIfTrue="1">
      <formula>WEEKDAY(DATE(AnoDoCalendário,4,INDIRECT(ADDRESS($CM$5,COLUMN(),4))))=7</formula>
    </cfRule>
    <cfRule type="expression" dxfId="115" priority="28" stopIfTrue="1">
      <formula>WEEKDAY(DATE(AnoDoCalendário,5,INDIRECT(ADDRESS($CM$5,COLUMN(),4))))=1</formula>
    </cfRule>
  </conditionalFormatting>
  <conditionalFormatting sqref="AH59:BL68">
    <cfRule type="expression" dxfId="114" priority="5">
      <formula>IFERROR(VLOOKUP(DATE(AnoDoCalendário,8,INDIRECT(ADDRESS($CM$5,COLUMN(),4))),$CU:$CU,1,FALSE),FALSE)</formula>
    </cfRule>
    <cfRule type="expression" dxfId="113" priority="24">
      <formula>WEEKDAY(DATE(AnoDoCalendário,8,INDIRECT(ADDRESS($CM$5,COLUMN(),4))))=7</formula>
    </cfRule>
    <cfRule type="expression" dxfId="112" priority="25" stopIfTrue="1">
      <formula>WEEKDAY(DATE(AnoDoCalendário,8,INDIRECT(ADDRESS($CM$5,COLUMN(),4))))=1</formula>
    </cfRule>
  </conditionalFormatting>
  <conditionalFormatting sqref="AH76:BL85">
    <cfRule type="expression" dxfId="111" priority="3" stopIfTrue="1">
      <formula>IFERROR(VLOOKUP(DATE(AnoDoCalendário,10,INDIRECT(ADDRESS($CM$5,COLUMN(),4))),$CU:$CU,1,FALSE),FALSE)</formula>
    </cfRule>
    <cfRule type="expression" dxfId="110" priority="19" stopIfTrue="1">
      <formula>WEEKDAY(DATE(AnoDoCalendário,10,INDIRECT(ADDRESS($CM$5,COLUMN(),4))))=7</formula>
    </cfRule>
    <cfRule type="expression" dxfId="109" priority="23" stopIfTrue="1">
      <formula>WEEKDAY(DATE(AnoDoCalendário,10,INDIRECT(ADDRESS($CM$5,COLUMN(),4))))=1</formula>
    </cfRule>
  </conditionalFormatting>
  <conditionalFormatting sqref="AH93:BL102">
    <cfRule type="expression" dxfId="108" priority="1" stopIfTrue="1">
      <formula>IFERROR(VLOOKUP(DATE(AnoDoCalendário,12,INDIRECT(ADDRESS($CM$5,COLUMN(),4))),$CU:$CU,1,FALSE),FALSE)</formula>
    </cfRule>
    <cfRule type="expression" dxfId="107" priority="20" stopIfTrue="1">
      <formula>WEEKDAY(DATE(AnoDoCalendário,12,INDIRECT(ADDRESS($CM$5,COLUMN(),4))))=7</formula>
    </cfRule>
    <cfRule type="expression" dxfId="106" priority="22" stopIfTrue="1">
      <formula>WEEKDAY(DATE(AnoDoCalendário,12,INDIRECT(ADDRESS($CM$5,COLUMN(),4))))=1</formula>
    </cfRule>
  </conditionalFormatting>
  <conditionalFormatting sqref="BX21">
    <cfRule type="expression" priority="18" stopIfTrue="1">
      <formula>$C$8=""</formula>
    </cfRule>
  </conditionalFormatting>
  <conditionalFormatting sqref="BX21">
    <cfRule type="expression" dxfId="105" priority="13" stopIfTrue="1">
      <formula>BX21=Tipo3</formula>
    </cfRule>
    <cfRule type="expression" dxfId="104" priority="14" stopIfTrue="1">
      <formula>BX21=Tipo2</formula>
    </cfRule>
    <cfRule type="expression" dxfId="103" priority="15" stopIfTrue="1">
      <formula>BX21=Tipo1</formula>
    </cfRule>
    <cfRule type="expression" dxfId="102" priority="16" stopIfTrue="1">
      <formula>BX21=TipoFormacao</formula>
    </cfRule>
    <cfRule type="expression" dxfId="101" priority="17" stopIfTrue="1">
      <formula>BX21=TipoFerias</formula>
    </cfRule>
  </conditionalFormatting>
  <conditionalFormatting sqref="AH42:BL51">
    <cfRule type="expression" dxfId="100" priority="7" stopIfTrue="1">
      <formula>IFERROR(VLOOKUP(DATE(AnoDoCalendário,6,INDIRECT(ADDRESS($CM$5,COLUMN(),4))),$CU:$CU,1,FALSE),FALSE)</formula>
    </cfRule>
  </conditionalFormatting>
  <conditionalFormatting sqref="C76:AF85">
    <cfRule type="expression" dxfId="99" priority="4" stopIfTrue="1">
      <formula>IFERROR(VLOOKUP(DATE(AnoDoCalendário,9,INDIRECT(ADDRESS($CM$5,COLUMN(),4))),$CU:$CU,1,FALSE),FALSE)</formula>
    </cfRule>
  </conditionalFormatting>
  <dataValidations xWindow="470" yWindow="311" count="9">
    <dataValidation errorStyle="warning" allowBlank="1" showInputMessage="1" showErrorMessage="1" error="Selecione um nome a partir da lista. Selecione CANCELAR e prima Alt+Seta Para Baixo e, em seguida, Enter para selecionar um nome" prompt="Introduza os nomes dos funcionários na folha de cálculo Nomes dos Funcionários. Em seguida, selecione um desses nomes a partir da lista nesta coluna. Prima Alt+Seta Para Baixo e, em seguida, Enter para selecionar um nome" sqref="B7 B75 B41 B58 B24 B92 BT7" xr:uid="{00000000-0002-0000-0000-000000000000}"/>
    <dataValidation allowBlank="1" showInputMessage="1" showErrorMessage="1" prompt="Introduza uma etiqueta para descrever o tipo personalizado à esquerda" sqref="W3 BX6:BY6" xr:uid="{00000000-0002-0000-0000-000001000000}"/>
    <dataValidation allowBlank="1" showInputMessage="1" showErrorMessage="1" prompt="Introduza uma letra e personalize a etiqueta à direita para adicionar outro tipo de ausência" sqref="Q3 V3 BX7:BY7" xr:uid="{00000000-0002-0000-0000-000002000000}"/>
    <dataValidation allowBlank="1" showInputMessage="1" showErrorMessage="1" prompt="A letra &quot;D&quot; indica ausência por motivo de doença" sqref="L3 BW7" xr:uid="{00000000-0002-0000-0000-000003000000}"/>
    <dataValidation allowBlank="1" showInputMessage="1" showErrorMessage="1" prompt="A letra &quot;M&quot; indica ausência por motivos pessoais" sqref="G3 BV7" xr:uid="{00000000-0002-0000-0000-000004000000}"/>
    <dataValidation allowBlank="1" showInputMessage="1" showErrorMessage="1" prompt="A letra &quot;F&quot; indica ausência devido a férias" sqref="C3 BU7" xr:uid="{00000000-0002-0000-0000-000005000000}"/>
    <dataValidation allowBlank="1" showInputMessage="1" showErrorMessage="1" prompt="Esta linha define os tipos de ausência utilizados na tabela: a célula C2 é para Férias, a G2 é para Motivos Pessoais e a K2 é para Doença. As células N2 e R2 são personalizáveis " sqref="B3" xr:uid="{00000000-0002-0000-0000-000006000000}"/>
    <dataValidation allowBlank="1" showInputMessage="1" showErrorMessage="1" prompt="O título da folha de cálculo encontra-se nesta célula. Ao atualizar o título, esta alteração será propagada automaticamente para todas as folhas de cálculo" sqref="B1" xr:uid="{00000000-0002-0000-0000-000007000000}"/>
    <dataValidation allowBlank="1" showInputMessage="1" showErrorMessage="1" prompt="Introduza o ano nesta célula" sqref="G1" xr:uid="{00000000-0002-0000-0000-000008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6">
              <controlPr defaultSize="0" print="0" autoFill="0" autoPict="0" macro="[0]!AdicionarFuncionario">
                <anchor moveWithCells="1" sizeWithCells="1">
                  <from>
                    <xdr:col>73</xdr:col>
                    <xdr:colOff>635000</xdr:colOff>
                    <xdr:row>2</xdr:row>
                    <xdr:rowOff>88900</xdr:rowOff>
                  </from>
                  <to>
                    <xdr:col>75</xdr:col>
                    <xdr:colOff>939800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2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7</vt:i4>
      </vt:variant>
    </vt:vector>
  </HeadingPairs>
  <TitlesOfParts>
    <vt:vector size="8" baseType="lpstr">
      <vt:lpstr>Mapa</vt:lpstr>
      <vt:lpstr>_</vt:lpstr>
      <vt:lpstr>AnoDoCalendário</vt:lpstr>
      <vt:lpstr>Tipo1</vt:lpstr>
      <vt:lpstr>Tipo2</vt:lpstr>
      <vt:lpstr>Tipo3</vt:lpstr>
      <vt:lpstr>TipoFerias</vt:lpstr>
      <vt:lpstr>TipoFormacao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marisa</dc:creator>
  <cp:lastModifiedBy>marisa</cp:lastModifiedBy>
  <dcterms:created xsi:type="dcterms:W3CDTF">2019-02-26T10:20:34Z</dcterms:created>
  <dcterms:modified xsi:type="dcterms:W3CDTF">2019-03-26T10:32:30Z</dcterms:modified>
</cp:coreProperties>
</file>